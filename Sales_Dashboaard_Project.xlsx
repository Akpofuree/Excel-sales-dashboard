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otubu\OneDrive\Documents\"/>
    </mc:Choice>
  </mc:AlternateContent>
  <xr:revisionPtr revIDLastSave="0" documentId="8_{03EB193C-C50B-43CB-8018-A855D803A8DB}" xr6:coauthVersionLast="47" xr6:coauthVersionMax="47" xr10:uidLastSave="{00000000-0000-0000-0000-000000000000}"/>
  <bookViews>
    <workbookView xWindow="-120" yWindow="-120" windowWidth="20730" windowHeight="11160" tabRatio="523" firstSheet="5" activeTab="7" xr2:uid="{50E8885B-0986-4CBE-9460-AD4CCE9DF94E}"/>
  </bookViews>
  <sheets>
    <sheet name="Region Revenue Chart" sheetId="2" r:id="rId1"/>
    <sheet name="Category Chart" sheetId="3" r:id="rId2"/>
    <sheet name="Region Profit chart" sheetId="4" r:id="rId3"/>
    <sheet name="Monthly Revenue" sheetId="6" r:id="rId4"/>
    <sheet name="Regions Profit" sheetId="8" r:id="rId5"/>
    <sheet name="KPI|_PIVOT" sheetId="9" r:id="rId6"/>
    <sheet name="Sales_Data" sheetId="1" r:id="rId7"/>
    <sheet name="Sales Dashboard" sheetId="7" r:id="rId8"/>
  </sheets>
  <definedNames>
    <definedName name="Slicer_Category">#N/A</definedName>
    <definedName name="Slicer_Region">#N/A</definedName>
    <definedName name="Slicer_Year">#N/A</definedName>
  </definedNames>
  <calcPr calcId="191029"/>
  <pivotCaches>
    <pivotCache cacheId="18"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7" l="1"/>
  <c r="B2" i="7"/>
  <c r="F2" i="7" s="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F3" i="1"/>
  <c r="G3" i="1" s="1"/>
  <c r="F4" i="1"/>
  <c r="G4" i="1" s="1"/>
  <c r="H4" i="1" s="1"/>
  <c r="F5" i="1"/>
  <c r="G5" i="1" s="1"/>
  <c r="H5" i="1" s="1"/>
  <c r="F6" i="1"/>
  <c r="G6" i="1" s="1"/>
  <c r="H6" i="1" s="1"/>
  <c r="F7" i="1"/>
  <c r="G7" i="1" s="1"/>
  <c r="H7" i="1" s="1"/>
  <c r="F8" i="1"/>
  <c r="G8" i="1" s="1"/>
  <c r="H8" i="1" s="1"/>
  <c r="F9" i="1"/>
  <c r="G9" i="1" s="1"/>
  <c r="H9" i="1" s="1"/>
  <c r="F10" i="1"/>
  <c r="G10" i="1" s="1"/>
  <c r="H10" i="1" s="1"/>
  <c r="F11" i="1"/>
  <c r="G11" i="1" s="1"/>
  <c r="H11" i="1" s="1"/>
  <c r="F12" i="1"/>
  <c r="G12" i="1" s="1"/>
  <c r="H12" i="1" s="1"/>
  <c r="F13" i="1"/>
  <c r="G13" i="1" s="1"/>
  <c r="H13" i="1" s="1"/>
  <c r="F14" i="1"/>
  <c r="G14" i="1" s="1"/>
  <c r="H14" i="1" s="1"/>
  <c r="F15" i="1"/>
  <c r="G15" i="1" s="1"/>
  <c r="H15" i="1" s="1"/>
  <c r="F16" i="1"/>
  <c r="G16" i="1" s="1"/>
  <c r="H16" i="1" s="1"/>
  <c r="F17" i="1"/>
  <c r="G17" i="1" s="1"/>
  <c r="H17" i="1" s="1"/>
  <c r="F18" i="1"/>
  <c r="G18" i="1" s="1"/>
  <c r="H18" i="1" s="1"/>
  <c r="F19" i="1"/>
  <c r="G19" i="1" s="1"/>
  <c r="H19" i="1" s="1"/>
  <c r="F20" i="1"/>
  <c r="G20" i="1" s="1"/>
  <c r="H20" i="1" s="1"/>
  <c r="F21" i="1"/>
  <c r="G21" i="1" s="1"/>
  <c r="H21" i="1" s="1"/>
  <c r="F22" i="1"/>
  <c r="G22" i="1" s="1"/>
  <c r="H22" i="1" s="1"/>
  <c r="F23" i="1"/>
  <c r="G23" i="1" s="1"/>
  <c r="H23" i="1" s="1"/>
  <c r="F24" i="1"/>
  <c r="G24" i="1" s="1"/>
  <c r="H24" i="1" s="1"/>
  <c r="F25" i="1"/>
  <c r="G25" i="1" s="1"/>
  <c r="H25" i="1" s="1"/>
  <c r="F26" i="1"/>
  <c r="G26" i="1" s="1"/>
  <c r="H26" i="1" s="1"/>
  <c r="F27" i="1"/>
  <c r="G27" i="1" s="1"/>
  <c r="H27" i="1" s="1"/>
  <c r="F28" i="1"/>
  <c r="G28" i="1" s="1"/>
  <c r="H28" i="1" s="1"/>
  <c r="F29" i="1"/>
  <c r="G29" i="1" s="1"/>
  <c r="H29" i="1" s="1"/>
  <c r="F30" i="1"/>
  <c r="G30" i="1" s="1"/>
  <c r="H30" i="1" s="1"/>
  <c r="F31" i="1"/>
  <c r="G31" i="1" s="1"/>
  <c r="H31" i="1" s="1"/>
  <c r="F32" i="1"/>
  <c r="G32" i="1" s="1"/>
  <c r="H32" i="1" s="1"/>
  <c r="F33" i="1"/>
  <c r="G33" i="1" s="1"/>
  <c r="H33" i="1" s="1"/>
  <c r="F34" i="1"/>
  <c r="G34" i="1" s="1"/>
  <c r="H34" i="1" s="1"/>
  <c r="F35" i="1"/>
  <c r="G35" i="1" s="1"/>
  <c r="H35" i="1" s="1"/>
  <c r="F36" i="1"/>
  <c r="G36" i="1" s="1"/>
  <c r="H36" i="1" s="1"/>
  <c r="F37" i="1"/>
  <c r="G37" i="1" s="1"/>
  <c r="H37" i="1" s="1"/>
  <c r="F38" i="1"/>
  <c r="G38" i="1" s="1"/>
  <c r="H38" i="1" s="1"/>
  <c r="F39" i="1"/>
  <c r="G39" i="1" s="1"/>
  <c r="H39" i="1" s="1"/>
  <c r="F40" i="1"/>
  <c r="G40" i="1" s="1"/>
  <c r="H40" i="1" s="1"/>
  <c r="F41" i="1"/>
  <c r="G41" i="1" s="1"/>
  <c r="H41" i="1" s="1"/>
  <c r="F42" i="1"/>
  <c r="G42" i="1" s="1"/>
  <c r="H42" i="1" s="1"/>
  <c r="F43" i="1"/>
  <c r="G43" i="1" s="1"/>
  <c r="H43" i="1" s="1"/>
  <c r="F44" i="1"/>
  <c r="G44" i="1" s="1"/>
  <c r="H44" i="1" s="1"/>
  <c r="F45" i="1"/>
  <c r="G45" i="1" s="1"/>
  <c r="H45" i="1" s="1"/>
  <c r="F46" i="1"/>
  <c r="G46" i="1" s="1"/>
  <c r="H46" i="1" s="1"/>
  <c r="F47" i="1"/>
  <c r="G47" i="1" s="1"/>
  <c r="H47" i="1" s="1"/>
  <c r="F48" i="1"/>
  <c r="G48" i="1" s="1"/>
  <c r="H48" i="1" s="1"/>
  <c r="F49" i="1"/>
  <c r="G49" i="1" s="1"/>
  <c r="H49" i="1" s="1"/>
  <c r="F50" i="1"/>
  <c r="G50" i="1" s="1"/>
  <c r="H50" i="1" s="1"/>
  <c r="F51" i="1"/>
  <c r="G51" i="1" s="1"/>
  <c r="H51" i="1" s="1"/>
  <c r="F52" i="1"/>
  <c r="G52" i="1" s="1"/>
  <c r="H52" i="1" s="1"/>
  <c r="F53" i="1"/>
  <c r="G53" i="1" s="1"/>
  <c r="H53" i="1" s="1"/>
  <c r="F54" i="1"/>
  <c r="G54" i="1" s="1"/>
  <c r="H54" i="1" s="1"/>
  <c r="F55" i="1"/>
  <c r="G55" i="1" s="1"/>
  <c r="H55" i="1" s="1"/>
  <c r="F56" i="1"/>
  <c r="G56" i="1" s="1"/>
  <c r="H56" i="1" s="1"/>
  <c r="F57" i="1"/>
  <c r="G57" i="1" s="1"/>
  <c r="H57" i="1" s="1"/>
  <c r="F58" i="1"/>
  <c r="G58" i="1" s="1"/>
  <c r="H58" i="1" s="1"/>
  <c r="F59" i="1"/>
  <c r="G59" i="1" s="1"/>
  <c r="H59" i="1" s="1"/>
  <c r="F60" i="1"/>
  <c r="G60" i="1" s="1"/>
  <c r="H60" i="1" s="1"/>
  <c r="F61" i="1"/>
  <c r="G61" i="1" s="1"/>
  <c r="H61" i="1" s="1"/>
  <c r="F62" i="1"/>
  <c r="G62" i="1" s="1"/>
  <c r="H62" i="1" s="1"/>
  <c r="F63" i="1"/>
  <c r="G63" i="1" s="1"/>
  <c r="H63" i="1" s="1"/>
  <c r="F64" i="1"/>
  <c r="G64" i="1" s="1"/>
  <c r="H64" i="1" s="1"/>
  <c r="F65" i="1"/>
  <c r="G65" i="1" s="1"/>
  <c r="H65" i="1" s="1"/>
  <c r="F66" i="1"/>
  <c r="G66" i="1" s="1"/>
  <c r="H66" i="1" s="1"/>
  <c r="F67" i="1"/>
  <c r="G67" i="1" s="1"/>
  <c r="H67" i="1" s="1"/>
  <c r="F68" i="1"/>
  <c r="G68" i="1" s="1"/>
  <c r="H68" i="1" s="1"/>
  <c r="F69" i="1"/>
  <c r="G69" i="1" s="1"/>
  <c r="H69" i="1" s="1"/>
  <c r="F70" i="1"/>
  <c r="G70" i="1" s="1"/>
  <c r="H70" i="1" s="1"/>
  <c r="F71" i="1"/>
  <c r="G71" i="1" s="1"/>
  <c r="H71" i="1" s="1"/>
  <c r="F72" i="1"/>
  <c r="G72" i="1" s="1"/>
  <c r="H72" i="1" s="1"/>
  <c r="F73" i="1"/>
  <c r="G73" i="1" s="1"/>
  <c r="H73" i="1" s="1"/>
  <c r="F74" i="1"/>
  <c r="G74" i="1" s="1"/>
  <c r="H74" i="1" s="1"/>
  <c r="F75" i="1"/>
  <c r="G75" i="1" s="1"/>
  <c r="H75" i="1" s="1"/>
  <c r="F76" i="1"/>
  <c r="G76" i="1" s="1"/>
  <c r="H76" i="1" s="1"/>
  <c r="F77" i="1"/>
  <c r="G77" i="1" s="1"/>
  <c r="H77" i="1" s="1"/>
  <c r="F78" i="1"/>
  <c r="G78" i="1" s="1"/>
  <c r="H78" i="1" s="1"/>
  <c r="F79" i="1"/>
  <c r="G79" i="1" s="1"/>
  <c r="H79" i="1" s="1"/>
  <c r="F80" i="1"/>
  <c r="G80" i="1" s="1"/>
  <c r="H80" i="1" s="1"/>
  <c r="F81" i="1"/>
  <c r="G81" i="1" s="1"/>
  <c r="H81" i="1" s="1"/>
  <c r="F82" i="1"/>
  <c r="G82" i="1" s="1"/>
  <c r="H82" i="1" s="1"/>
  <c r="F83" i="1"/>
  <c r="G83" i="1" s="1"/>
  <c r="H83" i="1" s="1"/>
  <c r="F84" i="1"/>
  <c r="G84" i="1" s="1"/>
  <c r="H84" i="1" s="1"/>
  <c r="F85" i="1"/>
  <c r="G85" i="1" s="1"/>
  <c r="H85" i="1" s="1"/>
  <c r="F86" i="1"/>
  <c r="G86" i="1" s="1"/>
  <c r="H86" i="1" s="1"/>
  <c r="F87" i="1"/>
  <c r="G87" i="1" s="1"/>
  <c r="H87" i="1" s="1"/>
  <c r="F88" i="1"/>
  <c r="G88" i="1" s="1"/>
  <c r="H88" i="1" s="1"/>
  <c r="F89" i="1"/>
  <c r="G89" i="1" s="1"/>
  <c r="H89" i="1" s="1"/>
  <c r="F90" i="1"/>
  <c r="G90" i="1" s="1"/>
  <c r="H90" i="1" s="1"/>
  <c r="F91" i="1"/>
  <c r="G91" i="1" s="1"/>
  <c r="H91" i="1" s="1"/>
  <c r="F92" i="1"/>
  <c r="G92" i="1" s="1"/>
  <c r="H92" i="1" s="1"/>
  <c r="F93" i="1"/>
  <c r="G93" i="1" s="1"/>
  <c r="H93" i="1" s="1"/>
  <c r="F94" i="1"/>
  <c r="G94" i="1" s="1"/>
  <c r="H94" i="1" s="1"/>
  <c r="F95" i="1"/>
  <c r="G95" i="1" s="1"/>
  <c r="H95" i="1" s="1"/>
  <c r="F96" i="1"/>
  <c r="G96" i="1" s="1"/>
  <c r="H96" i="1" s="1"/>
  <c r="F97" i="1"/>
  <c r="G97" i="1" s="1"/>
  <c r="H97" i="1" s="1"/>
  <c r="F98" i="1"/>
  <c r="G98" i="1" s="1"/>
  <c r="H98" i="1" s="1"/>
  <c r="F99" i="1"/>
  <c r="G99" i="1" s="1"/>
  <c r="H99" i="1" s="1"/>
  <c r="F100" i="1"/>
  <c r="G100" i="1" s="1"/>
  <c r="H100" i="1" s="1"/>
  <c r="F101" i="1"/>
  <c r="G101" i="1" s="1"/>
  <c r="H101" i="1" s="1"/>
  <c r="F102" i="1"/>
  <c r="G102" i="1" s="1"/>
  <c r="H102" i="1" s="1"/>
  <c r="F103" i="1"/>
  <c r="G103" i="1" s="1"/>
  <c r="H103" i="1" s="1"/>
  <c r="F104" i="1"/>
  <c r="G104" i="1" s="1"/>
  <c r="H104" i="1" s="1"/>
  <c r="F105" i="1"/>
  <c r="G105" i="1" s="1"/>
  <c r="H105" i="1" s="1"/>
  <c r="F106" i="1"/>
  <c r="G106" i="1" s="1"/>
  <c r="H106" i="1" s="1"/>
  <c r="F107" i="1"/>
  <c r="G107" i="1" s="1"/>
  <c r="H107" i="1" s="1"/>
  <c r="F108" i="1"/>
  <c r="G108" i="1" s="1"/>
  <c r="H108" i="1" s="1"/>
  <c r="F109" i="1"/>
  <c r="G109" i="1" s="1"/>
  <c r="H109" i="1" s="1"/>
  <c r="F110" i="1"/>
  <c r="G110" i="1" s="1"/>
  <c r="H110" i="1" s="1"/>
  <c r="F111" i="1"/>
  <c r="G111" i="1" s="1"/>
  <c r="H111" i="1" s="1"/>
  <c r="F112" i="1"/>
  <c r="G112" i="1" s="1"/>
  <c r="H112" i="1" s="1"/>
  <c r="F113" i="1"/>
  <c r="G113" i="1" s="1"/>
  <c r="H113" i="1" s="1"/>
  <c r="F114" i="1"/>
  <c r="G114" i="1" s="1"/>
  <c r="H114" i="1" s="1"/>
  <c r="F115" i="1"/>
  <c r="G115" i="1" s="1"/>
  <c r="H115" i="1" s="1"/>
  <c r="F116" i="1"/>
  <c r="G116" i="1" s="1"/>
  <c r="H116" i="1" s="1"/>
  <c r="F117" i="1"/>
  <c r="G117" i="1" s="1"/>
  <c r="H117" i="1" s="1"/>
  <c r="F118" i="1"/>
  <c r="G118" i="1" s="1"/>
  <c r="H118" i="1" s="1"/>
  <c r="F119" i="1"/>
  <c r="G119" i="1" s="1"/>
  <c r="H119" i="1" s="1"/>
  <c r="F120" i="1"/>
  <c r="G120" i="1" s="1"/>
  <c r="H120" i="1" s="1"/>
  <c r="F121" i="1"/>
  <c r="G121" i="1" s="1"/>
  <c r="H121" i="1" s="1"/>
  <c r="F122" i="1"/>
  <c r="G122" i="1" s="1"/>
  <c r="H122" i="1" s="1"/>
  <c r="F123" i="1"/>
  <c r="G123" i="1" s="1"/>
  <c r="H123" i="1" s="1"/>
  <c r="F124" i="1"/>
  <c r="G124" i="1" s="1"/>
  <c r="H124" i="1" s="1"/>
  <c r="F125" i="1"/>
  <c r="G125" i="1" s="1"/>
  <c r="H125" i="1" s="1"/>
  <c r="F126" i="1"/>
  <c r="G126" i="1" s="1"/>
  <c r="H126" i="1" s="1"/>
  <c r="F127" i="1"/>
  <c r="G127" i="1" s="1"/>
  <c r="H127" i="1" s="1"/>
  <c r="F128" i="1"/>
  <c r="G128" i="1" s="1"/>
  <c r="H128" i="1" s="1"/>
  <c r="F129" i="1"/>
  <c r="G129" i="1" s="1"/>
  <c r="H129" i="1" s="1"/>
  <c r="F130" i="1"/>
  <c r="G130" i="1" s="1"/>
  <c r="H130" i="1" s="1"/>
  <c r="F131" i="1"/>
  <c r="G131" i="1" s="1"/>
  <c r="H131" i="1" s="1"/>
  <c r="F132" i="1"/>
  <c r="G132" i="1" s="1"/>
  <c r="H132" i="1" s="1"/>
  <c r="F133" i="1"/>
  <c r="G133" i="1" s="1"/>
  <c r="H133" i="1" s="1"/>
  <c r="F134" i="1"/>
  <c r="G134" i="1" s="1"/>
  <c r="H134" i="1" s="1"/>
  <c r="F135" i="1"/>
  <c r="G135" i="1" s="1"/>
  <c r="H135" i="1" s="1"/>
  <c r="F136" i="1"/>
  <c r="G136" i="1" s="1"/>
  <c r="H136" i="1" s="1"/>
  <c r="F137" i="1"/>
  <c r="G137" i="1" s="1"/>
  <c r="H137" i="1" s="1"/>
  <c r="F138" i="1"/>
  <c r="G138" i="1" s="1"/>
  <c r="H138" i="1" s="1"/>
  <c r="F139" i="1"/>
  <c r="G139" i="1" s="1"/>
  <c r="H139" i="1" s="1"/>
  <c r="F140" i="1"/>
  <c r="G140" i="1" s="1"/>
  <c r="H140" i="1" s="1"/>
  <c r="F141" i="1"/>
  <c r="G141" i="1" s="1"/>
  <c r="H141" i="1" s="1"/>
  <c r="F142" i="1"/>
  <c r="G142" i="1" s="1"/>
  <c r="H142" i="1" s="1"/>
  <c r="F143" i="1"/>
  <c r="G143" i="1" s="1"/>
  <c r="H143" i="1" s="1"/>
  <c r="F144" i="1"/>
  <c r="G144" i="1" s="1"/>
  <c r="H144" i="1" s="1"/>
  <c r="F145" i="1"/>
  <c r="G145" i="1" s="1"/>
  <c r="H145" i="1" s="1"/>
  <c r="F146" i="1"/>
  <c r="G146" i="1" s="1"/>
  <c r="H146" i="1" s="1"/>
  <c r="F147" i="1"/>
  <c r="G147" i="1" s="1"/>
  <c r="H147" i="1" s="1"/>
  <c r="F148" i="1"/>
  <c r="G148" i="1" s="1"/>
  <c r="H148" i="1" s="1"/>
  <c r="F149" i="1"/>
  <c r="G149" i="1" s="1"/>
  <c r="H149" i="1" s="1"/>
  <c r="F150" i="1"/>
  <c r="G150" i="1" s="1"/>
  <c r="H150" i="1" s="1"/>
  <c r="F151" i="1"/>
  <c r="G151" i="1" s="1"/>
  <c r="H151" i="1" s="1"/>
  <c r="F152" i="1"/>
  <c r="G152" i="1" s="1"/>
  <c r="H152" i="1" s="1"/>
  <c r="F153" i="1"/>
  <c r="G153" i="1" s="1"/>
  <c r="H153" i="1" s="1"/>
  <c r="F154" i="1"/>
  <c r="G154" i="1" s="1"/>
  <c r="H154" i="1" s="1"/>
  <c r="F155" i="1"/>
  <c r="G155" i="1" s="1"/>
  <c r="H155" i="1" s="1"/>
  <c r="F156" i="1"/>
  <c r="G156" i="1" s="1"/>
  <c r="H156" i="1" s="1"/>
  <c r="F157" i="1"/>
  <c r="G157" i="1" s="1"/>
  <c r="H157" i="1" s="1"/>
  <c r="F158" i="1"/>
  <c r="G158" i="1" s="1"/>
  <c r="H158" i="1" s="1"/>
  <c r="F159" i="1"/>
  <c r="G159" i="1" s="1"/>
  <c r="H159" i="1" s="1"/>
  <c r="F160" i="1"/>
  <c r="G160" i="1" s="1"/>
  <c r="H160" i="1" s="1"/>
  <c r="F161" i="1"/>
  <c r="G161" i="1" s="1"/>
  <c r="H161" i="1" s="1"/>
  <c r="F162" i="1"/>
  <c r="G162" i="1" s="1"/>
  <c r="H162" i="1" s="1"/>
  <c r="F163" i="1"/>
  <c r="G163" i="1" s="1"/>
  <c r="H163" i="1" s="1"/>
  <c r="F164" i="1"/>
  <c r="G164" i="1" s="1"/>
  <c r="H164" i="1" s="1"/>
  <c r="F165" i="1"/>
  <c r="G165" i="1" s="1"/>
  <c r="H165" i="1" s="1"/>
  <c r="F166" i="1"/>
  <c r="G166" i="1" s="1"/>
  <c r="H166" i="1" s="1"/>
  <c r="F167" i="1"/>
  <c r="G167" i="1" s="1"/>
  <c r="H167" i="1" s="1"/>
  <c r="F168" i="1"/>
  <c r="G168" i="1" s="1"/>
  <c r="H168" i="1" s="1"/>
  <c r="F169" i="1"/>
  <c r="G169" i="1" s="1"/>
  <c r="H169" i="1" s="1"/>
  <c r="F170" i="1"/>
  <c r="G170" i="1" s="1"/>
  <c r="H170" i="1" s="1"/>
  <c r="F171" i="1"/>
  <c r="G171" i="1" s="1"/>
  <c r="H171" i="1" s="1"/>
  <c r="F172" i="1"/>
  <c r="G172" i="1" s="1"/>
  <c r="H172" i="1" s="1"/>
  <c r="F173" i="1"/>
  <c r="G173" i="1" s="1"/>
  <c r="H173" i="1" s="1"/>
  <c r="F174" i="1"/>
  <c r="G174" i="1" s="1"/>
  <c r="H174" i="1" s="1"/>
  <c r="F175" i="1"/>
  <c r="G175" i="1" s="1"/>
  <c r="H175" i="1" s="1"/>
  <c r="F176" i="1"/>
  <c r="G176" i="1" s="1"/>
  <c r="H176" i="1" s="1"/>
  <c r="F177" i="1"/>
  <c r="G177" i="1" s="1"/>
  <c r="H177" i="1" s="1"/>
  <c r="F178" i="1"/>
  <c r="G178" i="1" s="1"/>
  <c r="H178" i="1" s="1"/>
  <c r="F179" i="1"/>
  <c r="G179" i="1" s="1"/>
  <c r="H179" i="1" s="1"/>
  <c r="F180" i="1"/>
  <c r="G180" i="1" s="1"/>
  <c r="H180" i="1" s="1"/>
  <c r="F181" i="1"/>
  <c r="G181" i="1" s="1"/>
  <c r="H181" i="1" s="1"/>
  <c r="F182" i="1"/>
  <c r="G182" i="1" s="1"/>
  <c r="H182" i="1" s="1"/>
  <c r="F183" i="1"/>
  <c r="G183" i="1" s="1"/>
  <c r="H183" i="1" s="1"/>
  <c r="F184" i="1"/>
  <c r="G184" i="1" s="1"/>
  <c r="H184" i="1" s="1"/>
  <c r="F185" i="1"/>
  <c r="G185" i="1" s="1"/>
  <c r="H185" i="1" s="1"/>
  <c r="F186" i="1"/>
  <c r="G186" i="1" s="1"/>
  <c r="H186" i="1" s="1"/>
  <c r="F187" i="1"/>
  <c r="G187" i="1" s="1"/>
  <c r="H187" i="1" s="1"/>
  <c r="F188" i="1"/>
  <c r="G188" i="1" s="1"/>
  <c r="H188" i="1" s="1"/>
  <c r="F189" i="1"/>
  <c r="G189" i="1" s="1"/>
  <c r="H189" i="1" s="1"/>
  <c r="F190" i="1"/>
  <c r="G190" i="1" s="1"/>
  <c r="H190" i="1" s="1"/>
  <c r="F191" i="1"/>
  <c r="G191" i="1" s="1"/>
  <c r="H191" i="1" s="1"/>
  <c r="F192" i="1"/>
  <c r="G192" i="1" s="1"/>
  <c r="H192" i="1" s="1"/>
  <c r="F193" i="1"/>
  <c r="G193" i="1" s="1"/>
  <c r="H193" i="1" s="1"/>
  <c r="F194" i="1"/>
  <c r="G194" i="1" s="1"/>
  <c r="H194" i="1" s="1"/>
  <c r="F195" i="1"/>
  <c r="G195" i="1" s="1"/>
  <c r="H195" i="1" s="1"/>
  <c r="F196" i="1"/>
  <c r="G196" i="1" s="1"/>
  <c r="H196" i="1" s="1"/>
  <c r="F197" i="1"/>
  <c r="G197" i="1" s="1"/>
  <c r="H197" i="1" s="1"/>
  <c r="F198" i="1"/>
  <c r="G198" i="1" s="1"/>
  <c r="H198" i="1" s="1"/>
  <c r="F199" i="1"/>
  <c r="G199" i="1" s="1"/>
  <c r="H199" i="1" s="1"/>
  <c r="F200" i="1"/>
  <c r="G200" i="1" s="1"/>
  <c r="H200" i="1" s="1"/>
  <c r="F201" i="1"/>
  <c r="G201" i="1" s="1"/>
  <c r="H201" i="1" s="1"/>
  <c r="F202" i="1"/>
  <c r="G202" i="1" s="1"/>
  <c r="H202" i="1" s="1"/>
  <c r="F203" i="1"/>
  <c r="G203" i="1" s="1"/>
  <c r="H203" i="1" s="1"/>
  <c r="F204" i="1"/>
  <c r="G204" i="1" s="1"/>
  <c r="H204" i="1" s="1"/>
  <c r="F205" i="1"/>
  <c r="G205" i="1" s="1"/>
  <c r="H205" i="1" s="1"/>
  <c r="F206" i="1"/>
  <c r="G206" i="1" s="1"/>
  <c r="H206" i="1" s="1"/>
  <c r="F207" i="1"/>
  <c r="G207" i="1" s="1"/>
  <c r="H207" i="1" s="1"/>
  <c r="F208" i="1"/>
  <c r="G208" i="1" s="1"/>
  <c r="H208" i="1" s="1"/>
  <c r="F209" i="1"/>
  <c r="G209" i="1" s="1"/>
  <c r="H209" i="1" s="1"/>
  <c r="F210" i="1"/>
  <c r="G210" i="1" s="1"/>
  <c r="H210" i="1" s="1"/>
  <c r="F211" i="1"/>
  <c r="G211" i="1" s="1"/>
  <c r="H211" i="1" s="1"/>
  <c r="F212" i="1"/>
  <c r="G212" i="1" s="1"/>
  <c r="H212" i="1" s="1"/>
  <c r="F213" i="1"/>
  <c r="G213" i="1" s="1"/>
  <c r="H213" i="1" s="1"/>
  <c r="F214" i="1"/>
  <c r="G214" i="1" s="1"/>
  <c r="H214" i="1" s="1"/>
  <c r="F215" i="1"/>
  <c r="G215" i="1" s="1"/>
  <c r="H215" i="1" s="1"/>
  <c r="F216" i="1"/>
  <c r="G216" i="1" s="1"/>
  <c r="H216" i="1" s="1"/>
  <c r="F217" i="1"/>
  <c r="G217" i="1" s="1"/>
  <c r="H217" i="1" s="1"/>
  <c r="F218" i="1"/>
  <c r="G218" i="1" s="1"/>
  <c r="H218" i="1" s="1"/>
  <c r="F219" i="1"/>
  <c r="G219" i="1" s="1"/>
  <c r="H219" i="1" s="1"/>
  <c r="F220" i="1"/>
  <c r="G220" i="1" s="1"/>
  <c r="H220" i="1" s="1"/>
  <c r="F221" i="1"/>
  <c r="G221" i="1" s="1"/>
  <c r="H221" i="1" s="1"/>
  <c r="F222" i="1"/>
  <c r="G222" i="1" s="1"/>
  <c r="H222" i="1" s="1"/>
  <c r="F223" i="1"/>
  <c r="G223" i="1" s="1"/>
  <c r="H223" i="1" s="1"/>
  <c r="F224" i="1"/>
  <c r="G224" i="1" s="1"/>
  <c r="H224" i="1" s="1"/>
  <c r="F225" i="1"/>
  <c r="G225" i="1" s="1"/>
  <c r="H225" i="1" s="1"/>
  <c r="F226" i="1"/>
  <c r="G226" i="1" s="1"/>
  <c r="H226" i="1" s="1"/>
  <c r="F227" i="1"/>
  <c r="G227" i="1" s="1"/>
  <c r="H227" i="1" s="1"/>
  <c r="F228" i="1"/>
  <c r="G228" i="1" s="1"/>
  <c r="H228" i="1" s="1"/>
  <c r="F229" i="1"/>
  <c r="G229" i="1" s="1"/>
  <c r="H229" i="1" s="1"/>
  <c r="F230" i="1"/>
  <c r="G230" i="1" s="1"/>
  <c r="H230" i="1" s="1"/>
  <c r="F231" i="1"/>
  <c r="G231" i="1" s="1"/>
  <c r="H231" i="1" s="1"/>
  <c r="F232" i="1"/>
  <c r="G232" i="1" s="1"/>
  <c r="H232" i="1" s="1"/>
  <c r="F233" i="1"/>
  <c r="G233" i="1" s="1"/>
  <c r="H233" i="1" s="1"/>
  <c r="F234" i="1"/>
  <c r="G234" i="1" s="1"/>
  <c r="H234" i="1" s="1"/>
  <c r="F235" i="1"/>
  <c r="G235" i="1" s="1"/>
  <c r="H235" i="1" s="1"/>
  <c r="F236" i="1"/>
  <c r="G236" i="1" s="1"/>
  <c r="H236" i="1" s="1"/>
  <c r="F237" i="1"/>
  <c r="G237" i="1" s="1"/>
  <c r="H237" i="1" s="1"/>
  <c r="F238" i="1"/>
  <c r="G238" i="1" s="1"/>
  <c r="H238" i="1" s="1"/>
  <c r="F239" i="1"/>
  <c r="G239" i="1" s="1"/>
  <c r="H239" i="1" s="1"/>
  <c r="F240" i="1"/>
  <c r="G240" i="1" s="1"/>
  <c r="H240" i="1" s="1"/>
  <c r="F241" i="1"/>
  <c r="G241" i="1" s="1"/>
  <c r="H241" i="1" s="1"/>
  <c r="F242" i="1"/>
  <c r="G242" i="1" s="1"/>
  <c r="H242" i="1" s="1"/>
  <c r="F243" i="1"/>
  <c r="G243" i="1" s="1"/>
  <c r="H243" i="1" s="1"/>
  <c r="F244" i="1"/>
  <c r="G244" i="1" s="1"/>
  <c r="H244" i="1" s="1"/>
  <c r="F245" i="1"/>
  <c r="G245" i="1" s="1"/>
  <c r="H245" i="1" s="1"/>
  <c r="F246" i="1"/>
  <c r="G246" i="1" s="1"/>
  <c r="H246" i="1" s="1"/>
  <c r="F247" i="1"/>
  <c r="G247" i="1" s="1"/>
  <c r="H247" i="1" s="1"/>
  <c r="F248" i="1"/>
  <c r="G248" i="1" s="1"/>
  <c r="H248" i="1" s="1"/>
  <c r="F249" i="1"/>
  <c r="G249" i="1" s="1"/>
  <c r="H249" i="1" s="1"/>
  <c r="F250" i="1"/>
  <c r="G250" i="1" s="1"/>
  <c r="H250" i="1" s="1"/>
  <c r="F251" i="1"/>
  <c r="G251" i="1" s="1"/>
  <c r="H251" i="1" s="1"/>
  <c r="F252" i="1"/>
  <c r="G252" i="1" s="1"/>
  <c r="H252" i="1" s="1"/>
  <c r="F253" i="1"/>
  <c r="G253" i="1" s="1"/>
  <c r="H253" i="1" s="1"/>
  <c r="F254" i="1"/>
  <c r="G254" i="1" s="1"/>
  <c r="H254" i="1" s="1"/>
  <c r="F255" i="1"/>
  <c r="G255" i="1" s="1"/>
  <c r="H255" i="1" s="1"/>
  <c r="F256" i="1"/>
  <c r="G256" i="1" s="1"/>
  <c r="H256" i="1" s="1"/>
  <c r="F257" i="1"/>
  <c r="G257" i="1" s="1"/>
  <c r="H257" i="1" s="1"/>
  <c r="F258" i="1"/>
  <c r="G258" i="1" s="1"/>
  <c r="H258" i="1" s="1"/>
  <c r="F259" i="1"/>
  <c r="G259" i="1" s="1"/>
  <c r="H259" i="1" s="1"/>
  <c r="F260" i="1"/>
  <c r="G260" i="1" s="1"/>
  <c r="H260" i="1" s="1"/>
  <c r="F261" i="1"/>
  <c r="G261" i="1" s="1"/>
  <c r="H261" i="1" s="1"/>
  <c r="F262" i="1"/>
  <c r="G262" i="1" s="1"/>
  <c r="H262" i="1" s="1"/>
  <c r="F263" i="1"/>
  <c r="G263" i="1" s="1"/>
  <c r="H263" i="1" s="1"/>
  <c r="F264" i="1"/>
  <c r="G264" i="1" s="1"/>
  <c r="H264" i="1" s="1"/>
  <c r="F265" i="1"/>
  <c r="G265" i="1" s="1"/>
  <c r="H265" i="1" s="1"/>
  <c r="F266" i="1"/>
  <c r="G266" i="1" s="1"/>
  <c r="H266" i="1" s="1"/>
  <c r="F267" i="1"/>
  <c r="G267" i="1" s="1"/>
  <c r="H267" i="1" s="1"/>
  <c r="F268" i="1"/>
  <c r="G268" i="1" s="1"/>
  <c r="H268" i="1" s="1"/>
  <c r="F269" i="1"/>
  <c r="G269" i="1" s="1"/>
  <c r="H269" i="1" s="1"/>
  <c r="F270" i="1"/>
  <c r="G270" i="1" s="1"/>
  <c r="H270" i="1" s="1"/>
  <c r="F271" i="1"/>
  <c r="G271" i="1" s="1"/>
  <c r="H271" i="1" s="1"/>
  <c r="F272" i="1"/>
  <c r="G272" i="1" s="1"/>
  <c r="H272" i="1" s="1"/>
  <c r="F273" i="1"/>
  <c r="G273" i="1" s="1"/>
  <c r="H273" i="1" s="1"/>
  <c r="F274" i="1"/>
  <c r="G274" i="1" s="1"/>
  <c r="H274" i="1" s="1"/>
  <c r="F275" i="1"/>
  <c r="G275" i="1" s="1"/>
  <c r="H275" i="1" s="1"/>
  <c r="F276" i="1"/>
  <c r="G276" i="1" s="1"/>
  <c r="H276" i="1" s="1"/>
  <c r="F277" i="1"/>
  <c r="G277" i="1" s="1"/>
  <c r="H277" i="1" s="1"/>
  <c r="F278" i="1"/>
  <c r="G278" i="1" s="1"/>
  <c r="H278" i="1" s="1"/>
  <c r="F279" i="1"/>
  <c r="G279" i="1" s="1"/>
  <c r="H279" i="1" s="1"/>
  <c r="F280" i="1"/>
  <c r="G280" i="1" s="1"/>
  <c r="H280" i="1" s="1"/>
  <c r="F281" i="1"/>
  <c r="G281" i="1" s="1"/>
  <c r="H281" i="1" s="1"/>
  <c r="F282" i="1"/>
  <c r="G282" i="1" s="1"/>
  <c r="H282" i="1" s="1"/>
  <c r="F283" i="1"/>
  <c r="G283" i="1" s="1"/>
  <c r="H283" i="1" s="1"/>
  <c r="F284" i="1"/>
  <c r="G284" i="1" s="1"/>
  <c r="H284" i="1" s="1"/>
  <c r="F285" i="1"/>
  <c r="G285" i="1" s="1"/>
  <c r="H285" i="1" s="1"/>
  <c r="F286" i="1"/>
  <c r="G286" i="1" s="1"/>
  <c r="H286" i="1" s="1"/>
  <c r="F287" i="1"/>
  <c r="G287" i="1" s="1"/>
  <c r="H287" i="1" s="1"/>
  <c r="F288" i="1"/>
  <c r="G288" i="1" s="1"/>
  <c r="H288" i="1" s="1"/>
  <c r="F289" i="1"/>
  <c r="G289" i="1" s="1"/>
  <c r="H289" i="1" s="1"/>
  <c r="F290" i="1"/>
  <c r="G290" i="1" s="1"/>
  <c r="H290" i="1" s="1"/>
  <c r="F291" i="1"/>
  <c r="G291" i="1" s="1"/>
  <c r="H291" i="1" s="1"/>
  <c r="F292" i="1"/>
  <c r="G292" i="1" s="1"/>
  <c r="H292" i="1" s="1"/>
  <c r="F293" i="1"/>
  <c r="G293" i="1" s="1"/>
  <c r="H293" i="1" s="1"/>
  <c r="F294" i="1"/>
  <c r="G294" i="1" s="1"/>
  <c r="H294" i="1" s="1"/>
  <c r="F295" i="1"/>
  <c r="G295" i="1" s="1"/>
  <c r="H295" i="1" s="1"/>
  <c r="F296" i="1"/>
  <c r="G296" i="1" s="1"/>
  <c r="H296" i="1" s="1"/>
  <c r="F297" i="1"/>
  <c r="G297" i="1" s="1"/>
  <c r="H297" i="1" s="1"/>
  <c r="F298" i="1"/>
  <c r="G298" i="1" s="1"/>
  <c r="H298" i="1" s="1"/>
  <c r="F299" i="1"/>
  <c r="G299" i="1" s="1"/>
  <c r="H299" i="1" s="1"/>
  <c r="F300" i="1"/>
  <c r="G300" i="1" s="1"/>
  <c r="H300" i="1" s="1"/>
  <c r="F301" i="1"/>
  <c r="G301" i="1" s="1"/>
  <c r="H301" i="1" s="1"/>
  <c r="F302" i="1"/>
  <c r="G302" i="1" s="1"/>
  <c r="H302" i="1" s="1"/>
  <c r="F303" i="1"/>
  <c r="G303" i="1" s="1"/>
  <c r="H303" i="1" s="1"/>
  <c r="F304" i="1"/>
  <c r="G304" i="1" s="1"/>
  <c r="H304" i="1" s="1"/>
  <c r="F305" i="1"/>
  <c r="G305" i="1" s="1"/>
  <c r="H305" i="1" s="1"/>
  <c r="F306" i="1"/>
  <c r="G306" i="1" s="1"/>
  <c r="H306" i="1" s="1"/>
  <c r="F307" i="1"/>
  <c r="G307" i="1" s="1"/>
  <c r="H307" i="1" s="1"/>
  <c r="F308" i="1"/>
  <c r="G308" i="1" s="1"/>
  <c r="H308" i="1" s="1"/>
  <c r="F309" i="1"/>
  <c r="G309" i="1" s="1"/>
  <c r="H309" i="1" s="1"/>
  <c r="F310" i="1"/>
  <c r="G310" i="1" s="1"/>
  <c r="H310" i="1" s="1"/>
  <c r="F311" i="1"/>
  <c r="G311" i="1" s="1"/>
  <c r="H311" i="1" s="1"/>
  <c r="F312" i="1"/>
  <c r="G312" i="1" s="1"/>
  <c r="H312" i="1" s="1"/>
  <c r="F313" i="1"/>
  <c r="G313" i="1" s="1"/>
  <c r="H313" i="1" s="1"/>
  <c r="F314" i="1"/>
  <c r="G314" i="1" s="1"/>
  <c r="H314" i="1" s="1"/>
  <c r="F315" i="1"/>
  <c r="G315" i="1" s="1"/>
  <c r="H315" i="1" s="1"/>
  <c r="F316" i="1"/>
  <c r="G316" i="1" s="1"/>
  <c r="H316" i="1" s="1"/>
  <c r="F317" i="1"/>
  <c r="G317" i="1" s="1"/>
  <c r="H317" i="1" s="1"/>
  <c r="F318" i="1"/>
  <c r="G318" i="1" s="1"/>
  <c r="H318" i="1" s="1"/>
  <c r="F319" i="1"/>
  <c r="G319" i="1" s="1"/>
  <c r="H319" i="1" s="1"/>
  <c r="F320" i="1"/>
  <c r="G320" i="1" s="1"/>
  <c r="H320" i="1" s="1"/>
  <c r="F321" i="1"/>
  <c r="G321" i="1" s="1"/>
  <c r="H321" i="1" s="1"/>
  <c r="F322" i="1"/>
  <c r="G322" i="1" s="1"/>
  <c r="H322" i="1" s="1"/>
  <c r="F323" i="1"/>
  <c r="G323" i="1" s="1"/>
  <c r="H323" i="1" s="1"/>
  <c r="F324" i="1"/>
  <c r="G324" i="1" s="1"/>
  <c r="H324" i="1" s="1"/>
  <c r="F325" i="1"/>
  <c r="G325" i="1" s="1"/>
  <c r="H325" i="1" s="1"/>
  <c r="F326" i="1"/>
  <c r="G326" i="1" s="1"/>
  <c r="H326" i="1" s="1"/>
  <c r="F327" i="1"/>
  <c r="G327" i="1" s="1"/>
  <c r="H327" i="1" s="1"/>
  <c r="F328" i="1"/>
  <c r="G328" i="1" s="1"/>
  <c r="H328" i="1" s="1"/>
  <c r="F329" i="1"/>
  <c r="G329" i="1" s="1"/>
  <c r="H329" i="1" s="1"/>
  <c r="F330" i="1"/>
  <c r="G330" i="1" s="1"/>
  <c r="H330" i="1" s="1"/>
  <c r="F331" i="1"/>
  <c r="G331" i="1" s="1"/>
  <c r="H331" i="1" s="1"/>
  <c r="F332" i="1"/>
  <c r="G332" i="1" s="1"/>
  <c r="H332" i="1" s="1"/>
  <c r="F333" i="1"/>
  <c r="G333" i="1" s="1"/>
  <c r="H333" i="1" s="1"/>
  <c r="F334" i="1"/>
  <c r="G334" i="1" s="1"/>
  <c r="H334" i="1" s="1"/>
  <c r="F335" i="1"/>
  <c r="G335" i="1" s="1"/>
  <c r="H335" i="1" s="1"/>
  <c r="F336" i="1"/>
  <c r="G336" i="1" s="1"/>
  <c r="H336" i="1" s="1"/>
  <c r="F337" i="1"/>
  <c r="G337" i="1" s="1"/>
  <c r="H337" i="1" s="1"/>
  <c r="F338" i="1"/>
  <c r="G338" i="1" s="1"/>
  <c r="H338" i="1" s="1"/>
  <c r="F339" i="1"/>
  <c r="G339" i="1" s="1"/>
  <c r="H339" i="1" s="1"/>
  <c r="F340" i="1"/>
  <c r="G340" i="1" s="1"/>
  <c r="H340" i="1" s="1"/>
  <c r="F341" i="1"/>
  <c r="G341" i="1" s="1"/>
  <c r="H341" i="1" s="1"/>
  <c r="F342" i="1"/>
  <c r="G342" i="1" s="1"/>
  <c r="H342" i="1" s="1"/>
  <c r="F343" i="1"/>
  <c r="G343" i="1" s="1"/>
  <c r="H343" i="1" s="1"/>
  <c r="F344" i="1"/>
  <c r="G344" i="1" s="1"/>
  <c r="H344" i="1" s="1"/>
  <c r="F345" i="1"/>
  <c r="G345" i="1" s="1"/>
  <c r="H345" i="1" s="1"/>
  <c r="F346" i="1"/>
  <c r="G346" i="1" s="1"/>
  <c r="H346" i="1" s="1"/>
  <c r="F347" i="1"/>
  <c r="G347" i="1" s="1"/>
  <c r="H347" i="1" s="1"/>
  <c r="F348" i="1"/>
  <c r="G348" i="1" s="1"/>
  <c r="H348" i="1" s="1"/>
  <c r="F349" i="1"/>
  <c r="G349" i="1" s="1"/>
  <c r="H349" i="1" s="1"/>
  <c r="F350" i="1"/>
  <c r="G350" i="1" s="1"/>
  <c r="H350" i="1" s="1"/>
  <c r="F351" i="1"/>
  <c r="G351" i="1" s="1"/>
  <c r="H351" i="1" s="1"/>
  <c r="F352" i="1"/>
  <c r="G352" i="1" s="1"/>
  <c r="H352" i="1" s="1"/>
  <c r="F353" i="1"/>
  <c r="G353" i="1" s="1"/>
  <c r="H353" i="1" s="1"/>
  <c r="F354" i="1"/>
  <c r="G354" i="1" s="1"/>
  <c r="H354" i="1" s="1"/>
  <c r="F355" i="1"/>
  <c r="G355" i="1" s="1"/>
  <c r="H355" i="1" s="1"/>
  <c r="F356" i="1"/>
  <c r="G356" i="1" s="1"/>
  <c r="H356" i="1" s="1"/>
  <c r="F357" i="1"/>
  <c r="G357" i="1" s="1"/>
  <c r="H357" i="1" s="1"/>
  <c r="F358" i="1"/>
  <c r="G358" i="1" s="1"/>
  <c r="H358" i="1" s="1"/>
  <c r="F359" i="1"/>
  <c r="G359" i="1" s="1"/>
  <c r="H359" i="1" s="1"/>
  <c r="F360" i="1"/>
  <c r="G360" i="1" s="1"/>
  <c r="H360" i="1" s="1"/>
  <c r="F361" i="1"/>
  <c r="G361" i="1" s="1"/>
  <c r="H361" i="1" s="1"/>
  <c r="F362" i="1"/>
  <c r="G362" i="1" s="1"/>
  <c r="H362" i="1" s="1"/>
  <c r="F363" i="1"/>
  <c r="G363" i="1" s="1"/>
  <c r="H363" i="1" s="1"/>
  <c r="F364" i="1"/>
  <c r="G364" i="1" s="1"/>
  <c r="H364" i="1" s="1"/>
  <c r="F365" i="1"/>
  <c r="G365" i="1" s="1"/>
  <c r="H365" i="1" s="1"/>
  <c r="F366" i="1"/>
  <c r="G366" i="1" s="1"/>
  <c r="H366" i="1" s="1"/>
  <c r="F367" i="1"/>
  <c r="G367" i="1" s="1"/>
  <c r="H367" i="1" s="1"/>
  <c r="F368" i="1"/>
  <c r="G368" i="1" s="1"/>
  <c r="H368" i="1" s="1"/>
  <c r="F369" i="1"/>
  <c r="G369" i="1" s="1"/>
  <c r="H369" i="1" s="1"/>
  <c r="F370" i="1"/>
  <c r="G370" i="1" s="1"/>
  <c r="H370" i="1" s="1"/>
  <c r="F371" i="1"/>
  <c r="G371" i="1" s="1"/>
  <c r="H371" i="1" s="1"/>
  <c r="F372" i="1"/>
  <c r="G372" i="1" s="1"/>
  <c r="H372" i="1" s="1"/>
  <c r="F373" i="1"/>
  <c r="G373" i="1" s="1"/>
  <c r="H373" i="1" s="1"/>
  <c r="F374" i="1"/>
  <c r="G374" i="1" s="1"/>
  <c r="H374" i="1" s="1"/>
  <c r="F375" i="1"/>
  <c r="G375" i="1" s="1"/>
  <c r="H375" i="1" s="1"/>
  <c r="F376" i="1"/>
  <c r="G376" i="1" s="1"/>
  <c r="H376" i="1" s="1"/>
  <c r="F377" i="1"/>
  <c r="G377" i="1" s="1"/>
  <c r="H377" i="1" s="1"/>
  <c r="F378" i="1"/>
  <c r="G378" i="1" s="1"/>
  <c r="H378" i="1" s="1"/>
  <c r="F379" i="1"/>
  <c r="G379" i="1" s="1"/>
  <c r="H379" i="1" s="1"/>
  <c r="F380" i="1"/>
  <c r="G380" i="1" s="1"/>
  <c r="H380" i="1" s="1"/>
  <c r="F381" i="1"/>
  <c r="G381" i="1" s="1"/>
  <c r="H381" i="1" s="1"/>
  <c r="F382" i="1"/>
  <c r="G382" i="1" s="1"/>
  <c r="H382" i="1" s="1"/>
  <c r="F383" i="1"/>
  <c r="G383" i="1" s="1"/>
  <c r="H383" i="1" s="1"/>
  <c r="F384" i="1"/>
  <c r="G384" i="1" s="1"/>
  <c r="H384" i="1" s="1"/>
  <c r="F385" i="1"/>
  <c r="G385" i="1" s="1"/>
  <c r="H385" i="1" s="1"/>
  <c r="F386" i="1"/>
  <c r="G386" i="1" s="1"/>
  <c r="H386" i="1" s="1"/>
  <c r="F387" i="1"/>
  <c r="G387" i="1" s="1"/>
  <c r="H387" i="1" s="1"/>
  <c r="F388" i="1"/>
  <c r="G388" i="1" s="1"/>
  <c r="H388" i="1" s="1"/>
  <c r="F389" i="1"/>
  <c r="G389" i="1" s="1"/>
  <c r="H389" i="1" s="1"/>
  <c r="F390" i="1"/>
  <c r="G390" i="1" s="1"/>
  <c r="H390" i="1" s="1"/>
  <c r="F391" i="1"/>
  <c r="G391" i="1" s="1"/>
  <c r="H391" i="1" s="1"/>
  <c r="F392" i="1"/>
  <c r="G392" i="1" s="1"/>
  <c r="H392" i="1" s="1"/>
  <c r="F393" i="1"/>
  <c r="G393" i="1" s="1"/>
  <c r="H393" i="1" s="1"/>
  <c r="F394" i="1"/>
  <c r="G394" i="1" s="1"/>
  <c r="H394" i="1" s="1"/>
  <c r="F395" i="1"/>
  <c r="G395" i="1" s="1"/>
  <c r="H395" i="1" s="1"/>
  <c r="F396" i="1"/>
  <c r="G396" i="1" s="1"/>
  <c r="H396" i="1" s="1"/>
  <c r="F397" i="1"/>
  <c r="G397" i="1" s="1"/>
  <c r="H397" i="1" s="1"/>
  <c r="F398" i="1"/>
  <c r="G398" i="1" s="1"/>
  <c r="H398" i="1" s="1"/>
  <c r="F399" i="1"/>
  <c r="G399" i="1" s="1"/>
  <c r="H399" i="1" s="1"/>
  <c r="F400" i="1"/>
  <c r="G400" i="1" s="1"/>
  <c r="H400" i="1" s="1"/>
  <c r="F401" i="1"/>
  <c r="G401" i="1" s="1"/>
  <c r="H401" i="1" s="1"/>
  <c r="F402" i="1"/>
  <c r="G402" i="1" s="1"/>
  <c r="H402" i="1" s="1"/>
  <c r="F403" i="1"/>
  <c r="G403" i="1" s="1"/>
  <c r="H403" i="1" s="1"/>
  <c r="F404" i="1"/>
  <c r="G404" i="1" s="1"/>
  <c r="H404" i="1" s="1"/>
  <c r="F405" i="1"/>
  <c r="G405" i="1" s="1"/>
  <c r="H405" i="1" s="1"/>
  <c r="F406" i="1"/>
  <c r="G406" i="1" s="1"/>
  <c r="H406" i="1" s="1"/>
  <c r="F407" i="1"/>
  <c r="G407" i="1" s="1"/>
  <c r="H407" i="1" s="1"/>
  <c r="F408" i="1"/>
  <c r="G408" i="1" s="1"/>
  <c r="H408" i="1" s="1"/>
  <c r="F409" i="1"/>
  <c r="G409" i="1" s="1"/>
  <c r="H409" i="1" s="1"/>
  <c r="F410" i="1"/>
  <c r="G410" i="1" s="1"/>
  <c r="H410" i="1" s="1"/>
  <c r="F411" i="1"/>
  <c r="G411" i="1" s="1"/>
  <c r="H411" i="1" s="1"/>
  <c r="F412" i="1"/>
  <c r="G412" i="1" s="1"/>
  <c r="H412" i="1" s="1"/>
  <c r="F413" i="1"/>
  <c r="G413" i="1" s="1"/>
  <c r="H413" i="1" s="1"/>
  <c r="F414" i="1"/>
  <c r="G414" i="1" s="1"/>
  <c r="H414" i="1" s="1"/>
  <c r="F415" i="1"/>
  <c r="G415" i="1" s="1"/>
  <c r="H415" i="1" s="1"/>
  <c r="F416" i="1"/>
  <c r="G416" i="1" s="1"/>
  <c r="H416" i="1" s="1"/>
  <c r="F417" i="1"/>
  <c r="G417" i="1" s="1"/>
  <c r="H417" i="1" s="1"/>
  <c r="F418" i="1"/>
  <c r="G418" i="1" s="1"/>
  <c r="H418" i="1" s="1"/>
  <c r="F419" i="1"/>
  <c r="G419" i="1" s="1"/>
  <c r="H419" i="1" s="1"/>
  <c r="F420" i="1"/>
  <c r="G420" i="1" s="1"/>
  <c r="H420" i="1" s="1"/>
  <c r="F421" i="1"/>
  <c r="G421" i="1" s="1"/>
  <c r="H421" i="1" s="1"/>
  <c r="F422" i="1"/>
  <c r="G422" i="1" s="1"/>
  <c r="H422" i="1" s="1"/>
  <c r="F423" i="1"/>
  <c r="G423" i="1" s="1"/>
  <c r="H423" i="1" s="1"/>
  <c r="F424" i="1"/>
  <c r="G424" i="1" s="1"/>
  <c r="H424" i="1" s="1"/>
  <c r="F425" i="1"/>
  <c r="G425" i="1" s="1"/>
  <c r="H425" i="1" s="1"/>
  <c r="F426" i="1"/>
  <c r="G426" i="1" s="1"/>
  <c r="H426" i="1" s="1"/>
  <c r="F427" i="1"/>
  <c r="G427" i="1" s="1"/>
  <c r="H427" i="1" s="1"/>
  <c r="F428" i="1"/>
  <c r="G428" i="1" s="1"/>
  <c r="H428" i="1" s="1"/>
  <c r="F429" i="1"/>
  <c r="G429" i="1" s="1"/>
  <c r="H429" i="1" s="1"/>
  <c r="F430" i="1"/>
  <c r="G430" i="1" s="1"/>
  <c r="H430" i="1" s="1"/>
  <c r="F431" i="1"/>
  <c r="G431" i="1" s="1"/>
  <c r="H431" i="1" s="1"/>
  <c r="F432" i="1"/>
  <c r="G432" i="1" s="1"/>
  <c r="H432" i="1" s="1"/>
  <c r="F433" i="1"/>
  <c r="G433" i="1" s="1"/>
  <c r="H433" i="1" s="1"/>
  <c r="F434" i="1"/>
  <c r="G434" i="1" s="1"/>
  <c r="H434" i="1" s="1"/>
  <c r="F435" i="1"/>
  <c r="G435" i="1" s="1"/>
  <c r="H435" i="1" s="1"/>
  <c r="F436" i="1"/>
  <c r="G436" i="1" s="1"/>
  <c r="H436" i="1" s="1"/>
  <c r="F437" i="1"/>
  <c r="G437" i="1" s="1"/>
  <c r="H437" i="1" s="1"/>
  <c r="F438" i="1"/>
  <c r="G438" i="1" s="1"/>
  <c r="H438" i="1" s="1"/>
  <c r="F439" i="1"/>
  <c r="G439" i="1" s="1"/>
  <c r="H439" i="1" s="1"/>
  <c r="F440" i="1"/>
  <c r="G440" i="1" s="1"/>
  <c r="H440" i="1" s="1"/>
  <c r="F441" i="1"/>
  <c r="G441" i="1" s="1"/>
  <c r="H441" i="1" s="1"/>
  <c r="F442" i="1"/>
  <c r="G442" i="1" s="1"/>
  <c r="H442" i="1" s="1"/>
  <c r="F443" i="1"/>
  <c r="G443" i="1" s="1"/>
  <c r="H443" i="1" s="1"/>
  <c r="F444" i="1"/>
  <c r="G444" i="1" s="1"/>
  <c r="H444" i="1" s="1"/>
  <c r="F445" i="1"/>
  <c r="G445" i="1" s="1"/>
  <c r="H445" i="1" s="1"/>
  <c r="F446" i="1"/>
  <c r="G446" i="1" s="1"/>
  <c r="H446" i="1" s="1"/>
  <c r="F447" i="1"/>
  <c r="G447" i="1" s="1"/>
  <c r="H447" i="1" s="1"/>
  <c r="F448" i="1"/>
  <c r="G448" i="1" s="1"/>
  <c r="H448" i="1" s="1"/>
  <c r="F449" i="1"/>
  <c r="G449" i="1" s="1"/>
  <c r="H449" i="1" s="1"/>
  <c r="F450" i="1"/>
  <c r="G450" i="1" s="1"/>
  <c r="H450" i="1" s="1"/>
  <c r="F451" i="1"/>
  <c r="G451" i="1" s="1"/>
  <c r="H451" i="1" s="1"/>
  <c r="F452" i="1"/>
  <c r="G452" i="1" s="1"/>
  <c r="H452" i="1" s="1"/>
  <c r="F453" i="1"/>
  <c r="G453" i="1" s="1"/>
  <c r="H453" i="1" s="1"/>
  <c r="F454" i="1"/>
  <c r="G454" i="1" s="1"/>
  <c r="H454" i="1" s="1"/>
  <c r="F455" i="1"/>
  <c r="G455" i="1" s="1"/>
  <c r="H455" i="1" s="1"/>
  <c r="F456" i="1"/>
  <c r="G456" i="1" s="1"/>
  <c r="H456" i="1" s="1"/>
  <c r="F457" i="1"/>
  <c r="G457" i="1" s="1"/>
  <c r="H457" i="1" s="1"/>
  <c r="F458" i="1"/>
  <c r="G458" i="1" s="1"/>
  <c r="H458" i="1" s="1"/>
  <c r="F459" i="1"/>
  <c r="G459" i="1" s="1"/>
  <c r="H459" i="1" s="1"/>
  <c r="F460" i="1"/>
  <c r="G460" i="1" s="1"/>
  <c r="H460" i="1" s="1"/>
  <c r="F461" i="1"/>
  <c r="G461" i="1" s="1"/>
  <c r="H461" i="1" s="1"/>
  <c r="F462" i="1"/>
  <c r="G462" i="1" s="1"/>
  <c r="H462" i="1" s="1"/>
  <c r="F463" i="1"/>
  <c r="G463" i="1" s="1"/>
  <c r="H463" i="1" s="1"/>
  <c r="F464" i="1"/>
  <c r="G464" i="1" s="1"/>
  <c r="H464" i="1" s="1"/>
  <c r="F465" i="1"/>
  <c r="G465" i="1" s="1"/>
  <c r="H465" i="1" s="1"/>
  <c r="F466" i="1"/>
  <c r="G466" i="1" s="1"/>
  <c r="H466" i="1" s="1"/>
  <c r="F467" i="1"/>
  <c r="G467" i="1" s="1"/>
  <c r="H467" i="1" s="1"/>
  <c r="F468" i="1"/>
  <c r="G468" i="1" s="1"/>
  <c r="H468" i="1" s="1"/>
  <c r="F469" i="1"/>
  <c r="G469" i="1" s="1"/>
  <c r="H469" i="1" s="1"/>
  <c r="F470" i="1"/>
  <c r="G470" i="1" s="1"/>
  <c r="H470" i="1" s="1"/>
  <c r="F471" i="1"/>
  <c r="G471" i="1" s="1"/>
  <c r="H471" i="1" s="1"/>
  <c r="F472" i="1"/>
  <c r="G472" i="1" s="1"/>
  <c r="H472" i="1" s="1"/>
  <c r="F473" i="1"/>
  <c r="G473" i="1" s="1"/>
  <c r="H473" i="1" s="1"/>
  <c r="F474" i="1"/>
  <c r="G474" i="1" s="1"/>
  <c r="H474" i="1" s="1"/>
  <c r="F475" i="1"/>
  <c r="G475" i="1" s="1"/>
  <c r="H475" i="1" s="1"/>
  <c r="F476" i="1"/>
  <c r="G476" i="1" s="1"/>
  <c r="H476" i="1" s="1"/>
  <c r="F477" i="1"/>
  <c r="G477" i="1" s="1"/>
  <c r="H477" i="1" s="1"/>
  <c r="F478" i="1"/>
  <c r="G478" i="1" s="1"/>
  <c r="H478" i="1" s="1"/>
  <c r="F479" i="1"/>
  <c r="G479" i="1" s="1"/>
  <c r="H479" i="1" s="1"/>
  <c r="F480" i="1"/>
  <c r="G480" i="1" s="1"/>
  <c r="H480" i="1" s="1"/>
  <c r="F481" i="1"/>
  <c r="G481" i="1" s="1"/>
  <c r="H481" i="1" s="1"/>
  <c r="F482" i="1"/>
  <c r="G482" i="1" s="1"/>
  <c r="H482" i="1" s="1"/>
  <c r="F483" i="1"/>
  <c r="G483" i="1" s="1"/>
  <c r="H483" i="1" s="1"/>
  <c r="F484" i="1"/>
  <c r="G484" i="1" s="1"/>
  <c r="H484" i="1" s="1"/>
  <c r="F485" i="1"/>
  <c r="G485" i="1" s="1"/>
  <c r="H485" i="1" s="1"/>
  <c r="F486" i="1"/>
  <c r="G486" i="1" s="1"/>
  <c r="H486" i="1" s="1"/>
  <c r="F487" i="1"/>
  <c r="G487" i="1" s="1"/>
  <c r="H487" i="1" s="1"/>
  <c r="F488" i="1"/>
  <c r="G488" i="1" s="1"/>
  <c r="H488" i="1" s="1"/>
  <c r="F489" i="1"/>
  <c r="G489" i="1" s="1"/>
  <c r="H489" i="1" s="1"/>
  <c r="F490" i="1"/>
  <c r="G490" i="1" s="1"/>
  <c r="H490" i="1" s="1"/>
  <c r="F491" i="1"/>
  <c r="G491" i="1" s="1"/>
  <c r="H491" i="1" s="1"/>
  <c r="F492" i="1"/>
  <c r="G492" i="1" s="1"/>
  <c r="H492" i="1" s="1"/>
  <c r="F493" i="1"/>
  <c r="G493" i="1" s="1"/>
  <c r="H493" i="1" s="1"/>
  <c r="F494" i="1"/>
  <c r="G494" i="1" s="1"/>
  <c r="H494" i="1" s="1"/>
  <c r="F495" i="1"/>
  <c r="G495" i="1" s="1"/>
  <c r="H495" i="1" s="1"/>
  <c r="F496" i="1"/>
  <c r="G496" i="1" s="1"/>
  <c r="H496" i="1" s="1"/>
  <c r="F497" i="1"/>
  <c r="G497" i="1" s="1"/>
  <c r="H497" i="1" s="1"/>
  <c r="F498" i="1"/>
  <c r="G498" i="1" s="1"/>
  <c r="H498" i="1" s="1"/>
  <c r="F499" i="1"/>
  <c r="G499" i="1" s="1"/>
  <c r="H499" i="1" s="1"/>
  <c r="F500" i="1"/>
  <c r="G500" i="1" s="1"/>
  <c r="H500" i="1" s="1"/>
  <c r="F2" i="1"/>
  <c r="G2" i="1" l="1"/>
  <c r="H3" i="1" l="1"/>
  <c r="H2" i="1"/>
</calcChain>
</file>

<file path=xl/sharedStrings.xml><?xml version="1.0" encoding="utf-8"?>
<sst xmlns="http://schemas.openxmlformats.org/spreadsheetml/2006/main" count="1562" uniqueCount="49">
  <si>
    <t>Date</t>
  </si>
  <si>
    <t>Region</t>
  </si>
  <si>
    <t>Category</t>
  </si>
  <si>
    <t>Product</t>
  </si>
  <si>
    <t>Revenue</t>
  </si>
  <si>
    <t>Cost</t>
  </si>
  <si>
    <t>Profit</t>
  </si>
  <si>
    <t>North</t>
  </si>
  <si>
    <t>South</t>
  </si>
  <si>
    <t>West</t>
  </si>
  <si>
    <t>East</t>
  </si>
  <si>
    <t>Category list</t>
  </si>
  <si>
    <t>Electronics</t>
  </si>
  <si>
    <t>Furniture</t>
  </si>
  <si>
    <t>Products</t>
  </si>
  <si>
    <t>laptops</t>
  </si>
  <si>
    <t>Phones</t>
  </si>
  <si>
    <t>Chairs</t>
  </si>
  <si>
    <t>Tablet</t>
  </si>
  <si>
    <t>Desk</t>
  </si>
  <si>
    <t>Cabinet</t>
  </si>
  <si>
    <t>Notebook</t>
  </si>
  <si>
    <t>Pen</t>
  </si>
  <si>
    <t>Printer Paper</t>
  </si>
  <si>
    <t>office supplies</t>
  </si>
  <si>
    <t xml:space="preserve"> </t>
  </si>
  <si>
    <t>Row Labels</t>
  </si>
  <si>
    <t>Grand Total</t>
  </si>
  <si>
    <t>Sum of Revenue</t>
  </si>
  <si>
    <t>Sum of Profit</t>
  </si>
  <si>
    <t>Month</t>
  </si>
  <si>
    <t>Region list</t>
  </si>
  <si>
    <t>Year</t>
  </si>
  <si>
    <t>Jan</t>
  </si>
  <si>
    <t>Feb</t>
  </si>
  <si>
    <t>Mar</t>
  </si>
  <si>
    <t>Apr</t>
  </si>
  <si>
    <t>May</t>
  </si>
  <si>
    <t>Jun</t>
  </si>
  <si>
    <t>Jul</t>
  </si>
  <si>
    <t>Aug</t>
  </si>
  <si>
    <t>Sep</t>
  </si>
  <si>
    <t>Oct</t>
  </si>
  <si>
    <t>Nov</t>
  </si>
  <si>
    <t>Dec</t>
  </si>
  <si>
    <t>Total Revenue</t>
  </si>
  <si>
    <t>Total Profit</t>
  </si>
  <si>
    <t>Profit Margin</t>
  </si>
  <si>
    <t>Office Supplies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</si>
</sst>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1009]#,##0.00"/>
  </numFmts>
  <fonts count="2" x14ac:knownFonts="1">
    <font>
      <sz val="11"/>
      <color theme="1"/>
      <name val="Aptos Narrow"/>
      <family val="2"/>
      <scheme val="minor"/>
    </font>
    <font>
      <b/>
      <sz val="14"/>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65" fontId="1" fillId="0" borderId="0" xfId="0" applyNumberFormat="1" applyFont="1"/>
    <xf numFmtId="0" fontId="0" fillId="0" borderId="0" xfId="0" applyAlignment="1">
      <alignment horizontal="center" vertical="center"/>
    </xf>
    <xf numFmtId="165" fontId="1" fillId="0" borderId="0" xfId="0" applyNumberFormat="1" applyFont="1" applyAlignment="1">
      <alignment horizontal="center" vertical="center"/>
    </xf>
    <xf numFmtId="10" fontId="1" fillId="0" borderId="0" xfId="0" applyNumberFormat="1" applyFont="1" applyAlignment="1">
      <alignment horizontal="center" vertical="center"/>
    </xf>
  </cellXfs>
  <cellStyles count="1">
    <cellStyle name="Normal" xfId="0" builtinId="0"/>
  </cellStyles>
  <dxfs count="3">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[Sales_Dashboaard_Project.xlsx]Monthly Revenue!PivotTable5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Monthly</a:t>
            </a:r>
            <a:r>
              <a:rPr lang="en-GB" baseline="0"/>
              <a:t> Revenue Trend Chart</a:t>
            </a:r>
          </a:p>
          <a:p>
            <a:pPr>
              <a:defRPr/>
            </a:pPr>
            <a:endParaRPr lang="en-GB"/>
          </a:p>
        </c:rich>
      </c:tx>
      <c:layout>
        <c:manualLayout>
          <c:xMode val="edge"/>
          <c:yMode val="edge"/>
          <c:x val="0.26406833069639768"/>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Revenue'!$B$3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Revenue'!$A$4:$A$16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Revenue'!$B$4:$B$16</c:f>
              <c:numCache>
                <c:formatCode>General</c:formatCode>
                <c:ptCount val="12"/>
                <c:pt idx="0">
                  <c:v>4661</c:v>
                </c:pt>
                <c:pt idx="1">
                  <c:v>4957</c:v>
                </c:pt>
                <c:pt idx="2">
                  <c:v>8319</c:v>
                </c:pt>
                <c:pt idx="3">
                  <c:v>7127</c:v>
                </c:pt>
                <c:pt idx="4">
                  <c:v>7627</c:v>
                </c:pt>
                <c:pt idx="5">
                  <c:v>6893</c:v>
                </c:pt>
                <c:pt idx="6">
                  <c:v>6808</c:v>
                </c:pt>
                <c:pt idx="7">
                  <c:v>3383</c:v>
                </c:pt>
                <c:pt idx="8">
                  <c:v>3325</c:v>
                </c:pt>
                <c:pt idx="9">
                  <c:v>2748</c:v>
                </c:pt>
                <c:pt idx="10">
                  <c:v>4966</c:v>
                </c:pt>
                <c:pt idx="11">
                  <c:v>2066</c:v>
                </c:pt>
              </c:numCache>
            </c:numRef>
          </c:val>
          <c:smooth val="0"/>
          <c:extLst>
            <c:ext xmlns:c16="http://schemas.microsoft.com/office/drawing/2014/chart" uri="{C3380CC4-5D6E-409C-BE32-E72D297353CC}">
              <c16:uniqueId val="{00000000-F448-4A4E-8B1B-9AA7A2AFC8A2}"/>
            </c:ext>
          </c:extLst>
        </c:ser>
        <c:dLbls>
          <c:showLegendKey val="0"/>
          <c:showVal val="0"/>
          <c:showCatName val="0"/>
          <c:showSerName val="0"/>
          <c:showPercent val="0"/>
          <c:showBubbleSize val="0"/>
        </c:dLbls>
        <c:marker val="1"/>
        <c:smooth val="0"/>
        <c:axId val="1780621936"/>
        <c:axId val="1780622416"/>
      </c:lineChart>
      <c:catAx>
        <c:axId val="1780621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622416"/>
        <c:crosses val="autoZero"/>
        <c:auto val="1"/>
        <c:lblAlgn val="ctr"/>
        <c:lblOffset val="100"/>
        <c:noMultiLvlLbl val="0"/>
      </c:catAx>
      <c:valAx>
        <c:axId val="1780622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621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[Sales_Dashboaard_Project.xlsx]Region Revenue Chart!PivotTable1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a:t>
            </a:r>
            <a:r>
              <a:rPr lang="en-GB" baseline="0"/>
              <a:t> By Region Revenue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Revenue Chart'!$B$3</c:f>
              <c:strCache>
                <c:ptCount val="1"/>
                <c:pt idx="0">
                  <c:v>Total</c:v>
                </c:pt>
              </c:strCache>
            </c:strRef>
          </c:tx>
          <c:spPr>
            <a:solidFill>
              <a:schemeClr val="accent1"/>
            </a:solidFill>
            <a:ln>
              <a:noFill/>
            </a:ln>
            <a:effectLst/>
          </c:spPr>
          <c:invertIfNegative val="0"/>
          <c:cat>
            <c:strRef>
              <c:f>'Region Revenue Chart'!$A$4:$A$5</c:f>
              <c:strCache>
                <c:ptCount val="1"/>
                <c:pt idx="0">
                  <c:v>East</c:v>
                </c:pt>
              </c:strCache>
            </c:strRef>
          </c:cat>
          <c:val>
            <c:numRef>
              <c:f>'Region Revenue Chart'!$B$4:$B$5</c:f>
              <c:numCache>
                <c:formatCode>General</c:formatCode>
                <c:ptCount val="1"/>
                <c:pt idx="0">
                  <c:v>28796</c:v>
                </c:pt>
              </c:numCache>
            </c:numRef>
          </c:val>
          <c:extLst>
            <c:ext xmlns:c16="http://schemas.microsoft.com/office/drawing/2014/chart" uri="{C3380CC4-5D6E-409C-BE32-E72D297353CC}">
              <c16:uniqueId val="{00000000-8BE6-4552-908D-C7EC05212E4F}"/>
            </c:ext>
          </c:extLst>
        </c:ser>
        <c:dLbls>
          <c:showLegendKey val="0"/>
          <c:showVal val="0"/>
          <c:showCatName val="0"/>
          <c:showSerName val="0"/>
          <c:showPercent val="0"/>
          <c:showBubbleSize val="0"/>
        </c:dLbls>
        <c:gapWidth val="219"/>
        <c:axId val="1783710560"/>
        <c:axId val="1783697600"/>
      </c:barChart>
      <c:catAx>
        <c:axId val="178371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697600"/>
        <c:crosses val="autoZero"/>
        <c:auto val="1"/>
        <c:lblAlgn val="ctr"/>
        <c:lblOffset val="100"/>
        <c:noMultiLvlLbl val="0"/>
      </c:catAx>
      <c:valAx>
        <c:axId val="17836976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71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[Sales_Dashboaard_Project.xlsx]Category Chart!PivotTable2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Chart'!$B$3</c:f>
              <c:strCache>
                <c:ptCount val="1"/>
                <c:pt idx="0">
                  <c:v>Total</c:v>
                </c:pt>
              </c:strCache>
            </c:strRef>
          </c:tx>
          <c:spPr>
            <a:solidFill>
              <a:schemeClr val="accent1"/>
            </a:solidFill>
            <a:ln>
              <a:noFill/>
            </a:ln>
            <a:effectLst/>
          </c:spPr>
          <c:invertIfNegative val="0"/>
          <c:cat>
            <c:strRef>
              <c:f>'Category Chart'!$A$4:$A$5</c:f>
              <c:strCache>
                <c:ptCount val="1"/>
                <c:pt idx="0">
                  <c:v>Electronics</c:v>
                </c:pt>
              </c:strCache>
            </c:strRef>
          </c:cat>
          <c:val>
            <c:numRef>
              <c:f>'Category Chart'!$B$4:$B$5</c:f>
              <c:numCache>
                <c:formatCode>General</c:formatCode>
                <c:ptCount val="1"/>
                <c:pt idx="0">
                  <c:v>62880</c:v>
                </c:pt>
              </c:numCache>
            </c:numRef>
          </c:val>
          <c:extLst>
            <c:ext xmlns:c16="http://schemas.microsoft.com/office/drawing/2014/chart" uri="{C3380CC4-5D6E-409C-BE32-E72D297353CC}">
              <c16:uniqueId val="{00000000-F733-4B35-95C1-A23F9DCC87DA}"/>
            </c:ext>
          </c:extLst>
        </c:ser>
        <c:dLbls>
          <c:showLegendKey val="0"/>
          <c:showVal val="0"/>
          <c:showCatName val="0"/>
          <c:showSerName val="0"/>
          <c:showPercent val="0"/>
          <c:showBubbleSize val="0"/>
        </c:dLbls>
        <c:gapWidth val="219"/>
        <c:overlap val="-27"/>
        <c:axId val="1783693280"/>
        <c:axId val="1783717280"/>
      </c:barChart>
      <c:catAx>
        <c:axId val="1783693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717280"/>
        <c:crosses val="autoZero"/>
        <c:auto val="1"/>
        <c:lblAlgn val="ctr"/>
        <c:lblOffset val="100"/>
        <c:noMultiLvlLbl val="0"/>
      </c:catAx>
      <c:valAx>
        <c:axId val="1783717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693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[Sales_Dashboaard_Project.xlsx]Regions Profit!PivotTable6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a:t>
            </a:r>
            <a:r>
              <a:rPr lang="en-GB" baseline="0"/>
              <a:t> by Region Profit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'Regions Profit'!$B$3</c:f>
              <c:strCache>
                <c:ptCount val="1"/>
                <c:pt idx="0">
                  <c:v>Total</c:v>
                </c:pt>
              </c:strCache>
            </c:strRef>
          </c:tx>
          <c:spPr>
            <a:solidFill>
              <a:schemeClr val="accent1"/>
            </a:solidFill>
            <a:ln>
              <a:noFill/>
            </a:ln>
            <a:effectLst/>
          </c:spPr>
          <c:invertIfNegative val="0"/>
          <c:cat>
            <c:strRef>
              <c:f>'Regions Profit'!$A$4:$A$5</c:f>
              <c:strCache>
                <c:ptCount val="1"/>
                <c:pt idx="0">
                  <c:v>East</c:v>
                </c:pt>
              </c:strCache>
            </c:strRef>
          </c:cat>
          <c:val>
            <c:numRef>
              <c:f>'Regions Profit'!$B$4:$B$5</c:f>
              <c:numCache>
                <c:formatCode>General</c:formatCode>
                <c:ptCount val="1"/>
                <c:pt idx="0">
                  <c:v>50618.329999999994</c:v>
                </c:pt>
              </c:numCache>
            </c:numRef>
          </c:val>
          <c:extLst>
            <c:ext xmlns:c16="http://schemas.microsoft.com/office/drawing/2014/chart" uri="{C3380CC4-5D6E-409C-BE32-E72D297353CC}">
              <c16:uniqueId val="{00000000-AD7F-4CA5-B415-8AFF85B23A2F}"/>
            </c:ext>
          </c:extLst>
        </c:ser>
        <c:dLbls>
          <c:showLegendKey val="0"/>
          <c:showVal val="0"/>
          <c:showCatName val="0"/>
          <c:showSerName val="0"/>
          <c:showPercent val="0"/>
          <c:showBubbleSize val="0"/>
        </c:dLbls>
        <c:gapWidth val="219"/>
        <c:overlap val="-27"/>
        <c:axId val="1997573760"/>
        <c:axId val="1997580000"/>
      </c:barChart>
      <c:catAx>
        <c:axId val="1997573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580000"/>
        <c:crosses val="autoZero"/>
        <c:auto val="1"/>
        <c:lblAlgn val="ctr"/>
        <c:lblOffset val="100"/>
        <c:noMultiLvlLbl val="0"/>
      </c:catAx>
      <c:valAx>
        <c:axId val="19975800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573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8300</xdr:colOff>
      <xdr:row>25</xdr:row>
      <xdr:rowOff>179295</xdr:rowOff>
    </xdr:from>
    <xdr:to>
      <xdr:col>17</xdr:col>
      <xdr:colOff>305894</xdr:colOff>
      <xdr:row>40</xdr:row>
      <xdr:rowOff>64995</xdr:rowOff>
    </xdr:to>
    <xdr:graphicFrame macro="">
      <xdr:nvGraphicFramePr>
        <xdr:cNvPr id="2" name="Chart 1">
          <a:extLst>
            <a:ext uri="{FF2B5EF4-FFF2-40B4-BE49-F238E27FC236}">
              <a16:creationId xmlns:a16="http://schemas.microsoft.com/office/drawing/2014/main" id="{0703DD49-CED4-4CE1-AE3D-45EDC4E719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597554</xdr:colOff>
      <xdr:row>25</xdr:row>
      <xdr:rowOff>168089</xdr:rowOff>
    </xdr:from>
    <xdr:to>
      <xdr:col>8</xdr:col>
      <xdr:colOff>297236</xdr:colOff>
      <xdr:row>40</xdr:row>
      <xdr:rowOff>53789</xdr:rowOff>
    </xdr:to>
    <xdr:graphicFrame macro="">
      <xdr:nvGraphicFramePr>
        <xdr:cNvPr id="3" name="Chart 2">
          <a:extLst>
            <a:ext uri="{FF2B5EF4-FFF2-40B4-BE49-F238E27FC236}">
              <a16:creationId xmlns:a16="http://schemas.microsoft.com/office/drawing/2014/main" id="{64B24A60-E78A-46F6-B747-DA7D3CA491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558420</xdr:colOff>
      <xdr:row>45</xdr:row>
      <xdr:rowOff>113078</xdr:rowOff>
    </xdr:from>
    <xdr:to>
      <xdr:col>11</xdr:col>
      <xdr:colOff>291720</xdr:colOff>
      <xdr:row>59</xdr:row>
      <xdr:rowOff>189278</xdr:rowOff>
    </xdr:to>
    <xdr:graphicFrame macro="">
      <xdr:nvGraphicFramePr>
        <xdr:cNvPr id="4" name="SALES PERFORMANCE DASHBOARD">
          <a:extLst>
            <a:ext uri="{FF2B5EF4-FFF2-40B4-BE49-F238E27FC236}">
              <a16:creationId xmlns:a16="http://schemas.microsoft.com/office/drawing/2014/main" id="{88EB54B5-F310-4B6D-9ABF-248170B5DA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11206</xdr:colOff>
      <xdr:row>7</xdr:row>
      <xdr:rowOff>22410</xdr:rowOff>
    </xdr:from>
    <xdr:to>
      <xdr:col>9</xdr:col>
      <xdr:colOff>43703</xdr:colOff>
      <xdr:row>21</xdr:row>
      <xdr:rowOff>0</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28F90449-CD4F-AD18-BA49-7DFE0BFA9B5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916706" y="1410339"/>
              <a:ext cx="1869461" cy="264459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3362</xdr:colOff>
      <xdr:row>7</xdr:row>
      <xdr:rowOff>14568</xdr:rowOff>
    </xdr:from>
    <xdr:to>
      <xdr:col>2</xdr:col>
      <xdr:colOff>642098</xdr:colOff>
      <xdr:row>21</xdr:row>
      <xdr:rowOff>14568</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4ABCEF00-2260-109E-CD73-09893B947F3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15683" y="1402497"/>
              <a:ext cx="1808951"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89646</xdr:colOff>
      <xdr:row>7</xdr:row>
      <xdr:rowOff>14568</xdr:rowOff>
    </xdr:from>
    <xdr:to>
      <xdr:col>5</xdr:col>
      <xdr:colOff>165846</xdr:colOff>
      <xdr:row>21</xdr:row>
      <xdr:rowOff>11206</xdr:rowOff>
    </xdr:to>
    <mc:AlternateContent xmlns:mc="http://schemas.openxmlformats.org/markup-compatibility/2006">
      <mc:Choice xmlns:a14="http://schemas.microsoft.com/office/drawing/2010/main" Requires="a14">
        <xdr:graphicFrame macro="">
          <xdr:nvGraphicFramePr>
            <xdr:cNvPr id="7" name="Year">
              <a:extLst>
                <a:ext uri="{FF2B5EF4-FFF2-40B4-BE49-F238E27FC236}">
                  <a16:creationId xmlns:a16="http://schemas.microsoft.com/office/drawing/2014/main" id="{C8FD6426-1055-24DA-27A1-322463A75F3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042396" y="1402497"/>
              <a:ext cx="1858736" cy="266363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558420</xdr:colOff>
      <xdr:row>64</xdr:row>
      <xdr:rowOff>67236</xdr:rowOff>
    </xdr:from>
    <xdr:to>
      <xdr:col>11</xdr:col>
      <xdr:colOff>323097</xdr:colOff>
      <xdr:row>78</xdr:row>
      <xdr:rowOff>143436</xdr:rowOff>
    </xdr:to>
    <xdr:graphicFrame macro="">
      <xdr:nvGraphicFramePr>
        <xdr:cNvPr id="8" name="Chart 7">
          <a:extLst>
            <a:ext uri="{FF2B5EF4-FFF2-40B4-BE49-F238E27FC236}">
              <a16:creationId xmlns:a16="http://schemas.microsoft.com/office/drawing/2014/main" id="{70C6C984-977F-44AE-B6A4-955C3FB468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tubure Diegbe" refreshedDate="46092.566825000002" createdVersion="8" refreshedVersion="8" minRefreshableVersion="3" recordCount="499" xr:uid="{71EDA557-7576-4C0A-9BFF-906E07B883F9}">
  <cacheSource type="worksheet">
    <worksheetSource name="SalesData"/>
  </cacheSource>
  <cacheFields count="10">
    <cacheField name=" " numFmtId="0">
      <sharedItems containsSemiMixedTypes="0" containsString="0" containsNumber="1" containsInteger="1" minValue="1001" maxValue="1500"/>
    </cacheField>
    <cacheField name="Date" numFmtId="14">
      <sharedItems containsSemiMixedTypes="0" containsNonDate="0" containsDate="1" containsString="0" minDate="2024-01-01T00:00:00" maxDate="2025-07-12T00:00:00"/>
    </cacheField>
    <cacheField name="Region" numFmtId="0">
      <sharedItems count="4">
        <s v="North"/>
        <s v="West"/>
        <s v="East"/>
        <s v="South"/>
      </sharedItems>
    </cacheField>
    <cacheField name="Category" numFmtId="0">
      <sharedItems count="3">
        <s v="Electronics"/>
        <s v="office supplies"/>
        <s v="Furniture"/>
      </sharedItems>
    </cacheField>
    <cacheField name="Product" numFmtId="0">
      <sharedItems/>
    </cacheField>
    <cacheField name="Revenue" numFmtId="0">
      <sharedItems containsSemiMixedTypes="0" containsString="0" containsNumber="1" containsInteger="1" minValue="307" maxValue="1997"/>
    </cacheField>
    <cacheField name="Cost" numFmtId="0">
      <sharedItems containsSemiMixedTypes="0" containsString="0" containsNumber="1" minValue="167.94" maxValue="1573.6"/>
    </cacheField>
    <cacheField name="Profit" numFmtId="0">
      <sharedItems containsSemiMixedTypes="0" containsString="0" containsNumber="1" minValue="-365.59999999999991" maxValue="962"/>
    </cacheField>
    <cacheField name="Month" numFmtId="0">
      <sharedItems count="12">
        <s v="Jan"/>
        <s v="Mar"/>
        <s v="Apr"/>
        <s v="May"/>
        <s v="Jun"/>
        <s v="Jul"/>
        <s v="Aug"/>
        <s v="Sep"/>
        <s v="Oct"/>
        <s v="Nov"/>
        <s v="Dec"/>
        <s v="Feb"/>
      </sharedItems>
    </cacheField>
    <cacheField name="Year" numFmtId="0">
      <sharedItems containsSemiMixedTypes="0" containsString="0" containsNumber="1" containsInteger="1" minValue="2024" maxValue="2025" count="2">
        <n v="2024"/>
        <n v="2025"/>
      </sharedItems>
    </cacheField>
  </cacheFields>
  <extLst>
    <ext xmlns:x14="http://schemas.microsoft.com/office/spreadsheetml/2009/9/main" uri="{725AE2AE-9491-48be-B2B4-4EB974FC3084}">
      <x14:pivotCacheDefinition pivotCacheId="4600715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n v="1001"/>
    <d v="2024-01-01T00:00:00"/>
    <x v="0"/>
    <x v="0"/>
    <s v="Products"/>
    <n v="1760"/>
    <n v="1073.5999999999999"/>
    <n v="686.40000000000009"/>
    <x v="0"/>
    <x v="0"/>
  </r>
  <r>
    <n v="1003"/>
    <d v="2024-03-01T00:00:00"/>
    <x v="1"/>
    <x v="1"/>
    <s v="laptops"/>
    <n v="708"/>
    <n v="424.8"/>
    <n v="-365.59999999999991"/>
    <x v="1"/>
    <x v="0"/>
  </r>
  <r>
    <n v="1004"/>
    <d v="2024-03-02T00:00:00"/>
    <x v="2"/>
    <x v="2"/>
    <s v="Phones"/>
    <n v="1728"/>
    <n v="1244.1600000000001"/>
    <n v="483.83999999999992"/>
    <x v="1"/>
    <x v="0"/>
  </r>
  <r>
    <n v="1005"/>
    <d v="2024-03-03T00:00:00"/>
    <x v="3"/>
    <x v="0"/>
    <s v="Chairs"/>
    <n v="394"/>
    <n v="240.34"/>
    <n v="153.66"/>
    <x v="1"/>
    <x v="0"/>
  </r>
  <r>
    <n v="1006"/>
    <d v="2024-03-04T00:00:00"/>
    <x v="0"/>
    <x v="1"/>
    <s v="Tablet"/>
    <n v="1446"/>
    <n v="1084.5"/>
    <n v="361.5"/>
    <x v="1"/>
    <x v="0"/>
  </r>
  <r>
    <n v="1007"/>
    <d v="2024-03-05T00:00:00"/>
    <x v="1"/>
    <x v="0"/>
    <s v="Desk"/>
    <n v="1911"/>
    <n v="1375.92"/>
    <n v="535.07999999999993"/>
    <x v="1"/>
    <x v="0"/>
  </r>
  <r>
    <n v="1008"/>
    <d v="2024-03-06T00:00:00"/>
    <x v="2"/>
    <x v="1"/>
    <s v="Cabinet"/>
    <n v="443"/>
    <n v="318.95999999999998"/>
    <n v="124.04000000000002"/>
    <x v="1"/>
    <x v="0"/>
  </r>
  <r>
    <n v="1009"/>
    <d v="2024-03-07T00:00:00"/>
    <x v="3"/>
    <x v="2"/>
    <s v="Notebook"/>
    <n v="1058"/>
    <n v="804.08"/>
    <n v="253.91999999999996"/>
    <x v="1"/>
    <x v="0"/>
  </r>
  <r>
    <n v="1010"/>
    <d v="2024-03-08T00:00:00"/>
    <x v="0"/>
    <x v="0"/>
    <s v="Pen"/>
    <n v="458"/>
    <n v="288.54000000000002"/>
    <n v="169.45999999999998"/>
    <x v="1"/>
    <x v="0"/>
  </r>
  <r>
    <n v="1011"/>
    <d v="2024-03-09T00:00:00"/>
    <x v="1"/>
    <x v="1"/>
    <s v="Printer Paper"/>
    <n v="610"/>
    <n v="451.4"/>
    <n v="158.60000000000002"/>
    <x v="1"/>
    <x v="0"/>
  </r>
  <r>
    <n v="1012"/>
    <d v="2024-03-10T00:00:00"/>
    <x v="2"/>
    <x v="0"/>
    <s v="Products"/>
    <n v="1958"/>
    <n v="1155.22"/>
    <n v="802.78"/>
    <x v="1"/>
    <x v="0"/>
  </r>
  <r>
    <n v="1013"/>
    <d v="2024-03-11T00:00:00"/>
    <x v="3"/>
    <x v="1"/>
    <s v="laptops"/>
    <n v="1903"/>
    <n v="1255.98"/>
    <n v="647.02"/>
    <x v="1"/>
    <x v="0"/>
  </r>
  <r>
    <n v="1014"/>
    <d v="2024-03-12T00:00:00"/>
    <x v="0"/>
    <x v="2"/>
    <s v="Phones"/>
    <n v="1408"/>
    <n v="746.24"/>
    <n v="661.76"/>
    <x v="1"/>
    <x v="0"/>
  </r>
  <r>
    <n v="1015"/>
    <d v="2024-03-13T00:00:00"/>
    <x v="1"/>
    <x v="0"/>
    <s v="Chairs"/>
    <n v="937"/>
    <n v="534.09"/>
    <n v="402.90999999999997"/>
    <x v="1"/>
    <x v="0"/>
  </r>
  <r>
    <n v="1016"/>
    <d v="2024-03-14T00:00:00"/>
    <x v="2"/>
    <x v="1"/>
    <s v="Tablet"/>
    <n v="1666"/>
    <n v="1316.14"/>
    <n v="349.8599999999999"/>
    <x v="1"/>
    <x v="0"/>
  </r>
  <r>
    <n v="1017"/>
    <d v="2024-03-15T00:00:00"/>
    <x v="3"/>
    <x v="0"/>
    <s v="Desk"/>
    <n v="1512"/>
    <n v="1073.52"/>
    <n v="438.48"/>
    <x v="1"/>
    <x v="0"/>
  </r>
  <r>
    <n v="1018"/>
    <d v="2024-03-16T00:00:00"/>
    <x v="0"/>
    <x v="1"/>
    <s v="Cabinet"/>
    <n v="335"/>
    <n v="194.3"/>
    <n v="140.69999999999999"/>
    <x v="1"/>
    <x v="0"/>
  </r>
  <r>
    <n v="1019"/>
    <d v="2024-03-17T00:00:00"/>
    <x v="1"/>
    <x v="2"/>
    <s v="Notebook"/>
    <n v="1361"/>
    <n v="1061.58"/>
    <n v="299.42000000000007"/>
    <x v="1"/>
    <x v="0"/>
  </r>
  <r>
    <n v="1020"/>
    <d v="2024-03-18T00:00:00"/>
    <x v="2"/>
    <x v="0"/>
    <s v="Pen"/>
    <n v="1627"/>
    <n v="1171.44"/>
    <n v="455.55999999999995"/>
    <x v="1"/>
    <x v="0"/>
  </r>
  <r>
    <n v="1021"/>
    <d v="2024-03-19T00:00:00"/>
    <x v="3"/>
    <x v="1"/>
    <s v="Printer Paper"/>
    <n v="1893"/>
    <n v="1022.22"/>
    <n v="870.78"/>
    <x v="1"/>
    <x v="0"/>
  </r>
  <r>
    <n v="1022"/>
    <d v="2024-03-20T00:00:00"/>
    <x v="0"/>
    <x v="0"/>
    <s v="Products"/>
    <n v="1202"/>
    <n v="925.54"/>
    <n v="276.46000000000004"/>
    <x v="1"/>
    <x v="0"/>
  </r>
  <r>
    <n v="1023"/>
    <d v="2024-03-21T00:00:00"/>
    <x v="1"/>
    <x v="1"/>
    <s v="laptops"/>
    <n v="1271"/>
    <n v="889.7"/>
    <n v="381.29999999999995"/>
    <x v="1"/>
    <x v="0"/>
  </r>
  <r>
    <n v="1024"/>
    <d v="2024-03-22T00:00:00"/>
    <x v="2"/>
    <x v="2"/>
    <s v="Phones"/>
    <n v="516"/>
    <n v="319.92"/>
    <n v="196.07999999999998"/>
    <x v="1"/>
    <x v="0"/>
  </r>
  <r>
    <n v="1025"/>
    <d v="2024-03-23T00:00:00"/>
    <x v="3"/>
    <x v="0"/>
    <s v="Chairs"/>
    <n v="497"/>
    <n v="357.84"/>
    <n v="139.16000000000003"/>
    <x v="1"/>
    <x v="0"/>
  </r>
  <r>
    <n v="1026"/>
    <d v="2024-03-24T00:00:00"/>
    <x v="0"/>
    <x v="1"/>
    <s v="Tablet"/>
    <n v="1687"/>
    <n v="978.46"/>
    <n v="708.54"/>
    <x v="1"/>
    <x v="0"/>
  </r>
  <r>
    <n v="1027"/>
    <d v="2024-03-25T00:00:00"/>
    <x v="1"/>
    <x v="0"/>
    <s v="Desk"/>
    <n v="1024"/>
    <n v="583.67999999999995"/>
    <n v="440.32000000000005"/>
    <x v="1"/>
    <x v="0"/>
  </r>
  <r>
    <n v="1028"/>
    <d v="2024-03-26T00:00:00"/>
    <x v="2"/>
    <x v="1"/>
    <s v="Cabinet"/>
    <n v="812"/>
    <n v="641.48"/>
    <n v="170.51999999999998"/>
    <x v="1"/>
    <x v="0"/>
  </r>
  <r>
    <n v="1029"/>
    <d v="2024-03-27T00:00:00"/>
    <x v="3"/>
    <x v="2"/>
    <s v="Notebook"/>
    <n v="724"/>
    <n v="543"/>
    <n v="181"/>
    <x v="1"/>
    <x v="0"/>
  </r>
  <r>
    <n v="1030"/>
    <d v="2024-03-28T00:00:00"/>
    <x v="0"/>
    <x v="0"/>
    <s v="Pen"/>
    <n v="1993"/>
    <n v="1415.03"/>
    <n v="577.97"/>
    <x v="1"/>
    <x v="0"/>
  </r>
  <r>
    <n v="1031"/>
    <d v="2024-03-29T00:00:00"/>
    <x v="1"/>
    <x v="1"/>
    <s v="Printer Paper"/>
    <n v="1495"/>
    <n v="911.95"/>
    <n v="583.04999999999995"/>
    <x v="1"/>
    <x v="0"/>
  </r>
  <r>
    <n v="1032"/>
    <d v="2024-03-30T00:00:00"/>
    <x v="2"/>
    <x v="0"/>
    <s v="Products"/>
    <n v="1677"/>
    <n v="972.66"/>
    <n v="704.34"/>
    <x v="1"/>
    <x v="0"/>
  </r>
  <r>
    <n v="1033"/>
    <d v="2024-03-31T00:00:00"/>
    <x v="3"/>
    <x v="1"/>
    <s v="laptops"/>
    <n v="783"/>
    <n v="407.16"/>
    <n v="375.84"/>
    <x v="1"/>
    <x v="0"/>
  </r>
  <r>
    <n v="1034"/>
    <d v="2024-04-01T00:00:00"/>
    <x v="0"/>
    <x v="2"/>
    <s v="Phones"/>
    <n v="1526"/>
    <n v="1007.16"/>
    <n v="518.84"/>
    <x v="2"/>
    <x v="0"/>
  </r>
  <r>
    <n v="1035"/>
    <d v="2024-04-02T00:00:00"/>
    <x v="1"/>
    <x v="0"/>
    <s v="Chairs"/>
    <n v="852"/>
    <n v="494.16"/>
    <n v="357.84"/>
    <x v="2"/>
    <x v="0"/>
  </r>
  <r>
    <n v="1036"/>
    <d v="2024-04-03T00:00:00"/>
    <x v="2"/>
    <x v="1"/>
    <s v="Tablet"/>
    <n v="1062"/>
    <n v="637.20000000000005"/>
    <n v="424.79999999999995"/>
    <x v="2"/>
    <x v="0"/>
  </r>
  <r>
    <n v="1037"/>
    <d v="2024-04-04T00:00:00"/>
    <x v="3"/>
    <x v="0"/>
    <s v="Desk"/>
    <n v="1740"/>
    <n v="887.4"/>
    <n v="852.6"/>
    <x v="2"/>
    <x v="0"/>
  </r>
  <r>
    <n v="1038"/>
    <d v="2024-04-05T00:00:00"/>
    <x v="0"/>
    <x v="1"/>
    <s v="Cabinet"/>
    <n v="1751"/>
    <n v="928.03"/>
    <n v="822.97"/>
    <x v="2"/>
    <x v="0"/>
  </r>
  <r>
    <n v="1039"/>
    <d v="2024-04-06T00:00:00"/>
    <x v="1"/>
    <x v="2"/>
    <s v="Notebook"/>
    <n v="1347"/>
    <n v="1064.1300000000001"/>
    <n v="282.86999999999989"/>
    <x v="2"/>
    <x v="0"/>
  </r>
  <r>
    <n v="1040"/>
    <d v="2024-04-07T00:00:00"/>
    <x v="2"/>
    <x v="0"/>
    <s v="Pen"/>
    <n v="1254"/>
    <n v="915.42"/>
    <n v="338.58000000000004"/>
    <x v="2"/>
    <x v="0"/>
  </r>
  <r>
    <n v="1041"/>
    <d v="2024-04-08T00:00:00"/>
    <x v="3"/>
    <x v="1"/>
    <s v="Printer Paper"/>
    <n v="838"/>
    <n v="444.14"/>
    <n v="393.86"/>
    <x v="2"/>
    <x v="0"/>
  </r>
  <r>
    <n v="1042"/>
    <d v="2024-04-09T00:00:00"/>
    <x v="0"/>
    <x v="0"/>
    <s v="Products"/>
    <n v="1356"/>
    <n v="1071.24"/>
    <n v="284.76"/>
    <x v="2"/>
    <x v="0"/>
  </r>
  <r>
    <n v="1043"/>
    <d v="2024-04-10T00:00:00"/>
    <x v="1"/>
    <x v="1"/>
    <s v="laptops"/>
    <n v="720"/>
    <n v="568.79999999999995"/>
    <n v="151.20000000000005"/>
    <x v="2"/>
    <x v="0"/>
  </r>
  <r>
    <n v="1044"/>
    <d v="2024-04-11T00:00:00"/>
    <x v="2"/>
    <x v="2"/>
    <s v="Phones"/>
    <n v="939"/>
    <n v="610.35"/>
    <n v="328.65"/>
    <x v="2"/>
    <x v="0"/>
  </r>
  <r>
    <n v="1045"/>
    <d v="2024-04-12T00:00:00"/>
    <x v="3"/>
    <x v="0"/>
    <s v="Chairs"/>
    <n v="795"/>
    <n v="564.45000000000005"/>
    <n v="230.54999999999995"/>
    <x v="2"/>
    <x v="0"/>
  </r>
  <r>
    <n v="1046"/>
    <d v="2024-04-13T00:00:00"/>
    <x v="0"/>
    <x v="1"/>
    <s v="Tablet"/>
    <n v="1406"/>
    <n v="984.2"/>
    <n v="421.79999999999995"/>
    <x v="2"/>
    <x v="0"/>
  </r>
  <r>
    <n v="1047"/>
    <d v="2024-04-14T00:00:00"/>
    <x v="1"/>
    <x v="0"/>
    <s v="Desk"/>
    <n v="406"/>
    <n v="215.18"/>
    <n v="190.82"/>
    <x v="2"/>
    <x v="0"/>
  </r>
  <r>
    <n v="1048"/>
    <d v="2024-04-15T00:00:00"/>
    <x v="2"/>
    <x v="1"/>
    <s v="Cabinet"/>
    <n v="307"/>
    <n v="196.48"/>
    <n v="110.52000000000001"/>
    <x v="2"/>
    <x v="0"/>
  </r>
  <r>
    <n v="1049"/>
    <d v="2024-04-16T00:00:00"/>
    <x v="3"/>
    <x v="2"/>
    <s v="Notebook"/>
    <n v="1073"/>
    <n v="590.15"/>
    <n v="482.85"/>
    <x v="2"/>
    <x v="0"/>
  </r>
  <r>
    <n v="1050"/>
    <d v="2024-04-17T00:00:00"/>
    <x v="0"/>
    <x v="0"/>
    <s v="Pen"/>
    <n v="1490"/>
    <n v="1043"/>
    <n v="447"/>
    <x v="2"/>
    <x v="0"/>
  </r>
  <r>
    <n v="1051"/>
    <d v="2024-04-18T00:00:00"/>
    <x v="1"/>
    <x v="1"/>
    <s v="Printer Paper"/>
    <n v="1361"/>
    <n v="680.5"/>
    <n v="680.5"/>
    <x v="2"/>
    <x v="0"/>
  </r>
  <r>
    <n v="1052"/>
    <d v="2024-04-19T00:00:00"/>
    <x v="2"/>
    <x v="0"/>
    <s v="Products"/>
    <n v="1066"/>
    <n v="596.96"/>
    <n v="469.03999999999996"/>
    <x v="2"/>
    <x v="0"/>
  </r>
  <r>
    <n v="1053"/>
    <d v="2024-04-20T00:00:00"/>
    <x v="3"/>
    <x v="1"/>
    <s v="laptops"/>
    <n v="309"/>
    <n v="200.85"/>
    <n v="108.15"/>
    <x v="2"/>
    <x v="0"/>
  </r>
  <r>
    <n v="1054"/>
    <d v="2024-04-21T00:00:00"/>
    <x v="0"/>
    <x v="2"/>
    <s v="Phones"/>
    <n v="1966"/>
    <n v="1238.58"/>
    <n v="727.42000000000007"/>
    <x v="2"/>
    <x v="0"/>
  </r>
  <r>
    <n v="1055"/>
    <d v="2024-04-22T00:00:00"/>
    <x v="1"/>
    <x v="0"/>
    <s v="Chairs"/>
    <n v="1385"/>
    <n v="886.4"/>
    <n v="498.6"/>
    <x v="2"/>
    <x v="0"/>
  </r>
  <r>
    <n v="1056"/>
    <d v="2024-04-23T00:00:00"/>
    <x v="2"/>
    <x v="1"/>
    <s v="Tablet"/>
    <n v="1844"/>
    <n v="1106.4000000000001"/>
    <n v="737.59999999999991"/>
    <x v="2"/>
    <x v="0"/>
  </r>
  <r>
    <n v="1057"/>
    <d v="2024-04-24T00:00:00"/>
    <x v="3"/>
    <x v="0"/>
    <s v="Desk"/>
    <n v="786"/>
    <n v="581.64"/>
    <n v="204.36"/>
    <x v="2"/>
    <x v="0"/>
  </r>
  <r>
    <n v="1058"/>
    <d v="2024-04-25T00:00:00"/>
    <x v="0"/>
    <x v="1"/>
    <s v="Cabinet"/>
    <n v="1704"/>
    <n v="852"/>
    <n v="852"/>
    <x v="2"/>
    <x v="0"/>
  </r>
  <r>
    <n v="1059"/>
    <d v="2024-04-26T00:00:00"/>
    <x v="1"/>
    <x v="2"/>
    <s v="Notebook"/>
    <n v="1872"/>
    <n v="1160.6400000000001"/>
    <n v="711.3599999999999"/>
    <x v="2"/>
    <x v="0"/>
  </r>
  <r>
    <n v="1060"/>
    <d v="2024-04-27T00:00:00"/>
    <x v="2"/>
    <x v="0"/>
    <s v="Pen"/>
    <n v="309"/>
    <n v="234.84"/>
    <n v="74.16"/>
    <x v="2"/>
    <x v="0"/>
  </r>
  <r>
    <n v="1061"/>
    <d v="2024-04-28T00:00:00"/>
    <x v="3"/>
    <x v="1"/>
    <s v="Printer Paper"/>
    <n v="1887"/>
    <n v="1452.99"/>
    <n v="434.01"/>
    <x v="2"/>
    <x v="0"/>
  </r>
  <r>
    <n v="1062"/>
    <d v="2024-04-29T00:00:00"/>
    <x v="0"/>
    <x v="0"/>
    <s v="Products"/>
    <n v="1526"/>
    <n v="1129.24"/>
    <n v="396.76"/>
    <x v="2"/>
    <x v="0"/>
  </r>
  <r>
    <n v="1063"/>
    <d v="2024-04-30T00:00:00"/>
    <x v="1"/>
    <x v="1"/>
    <s v="laptops"/>
    <n v="1924"/>
    <n v="962"/>
    <n v="962"/>
    <x v="2"/>
    <x v="0"/>
  </r>
  <r>
    <n v="1064"/>
    <d v="2024-05-01T00:00:00"/>
    <x v="2"/>
    <x v="2"/>
    <s v="Phones"/>
    <n v="897"/>
    <n v="493.35"/>
    <n v="403.65"/>
    <x v="3"/>
    <x v="0"/>
  </r>
  <r>
    <n v="1065"/>
    <d v="2024-05-02T00:00:00"/>
    <x v="3"/>
    <x v="0"/>
    <s v="Chairs"/>
    <n v="1929"/>
    <n v="1466.04"/>
    <n v="462.96000000000004"/>
    <x v="3"/>
    <x v="0"/>
  </r>
  <r>
    <n v="1066"/>
    <d v="2024-05-03T00:00:00"/>
    <x v="0"/>
    <x v="1"/>
    <s v="Tablet"/>
    <n v="472"/>
    <n v="349.28"/>
    <n v="122.72000000000003"/>
    <x v="3"/>
    <x v="0"/>
  </r>
  <r>
    <n v="1067"/>
    <d v="2024-05-04T00:00:00"/>
    <x v="1"/>
    <x v="0"/>
    <s v="Desk"/>
    <n v="565"/>
    <n v="361.6"/>
    <n v="203.39999999999998"/>
    <x v="3"/>
    <x v="0"/>
  </r>
  <r>
    <n v="1068"/>
    <d v="2024-05-05T00:00:00"/>
    <x v="2"/>
    <x v="1"/>
    <s v="Cabinet"/>
    <n v="1003"/>
    <n v="772.31"/>
    <n v="230.69000000000005"/>
    <x v="3"/>
    <x v="0"/>
  </r>
  <r>
    <n v="1069"/>
    <d v="2024-05-06T00:00:00"/>
    <x v="3"/>
    <x v="2"/>
    <s v="Notebook"/>
    <n v="1973"/>
    <n v="1302.18"/>
    <n v="670.81999999999994"/>
    <x v="3"/>
    <x v="0"/>
  </r>
  <r>
    <n v="1070"/>
    <d v="2024-05-07T00:00:00"/>
    <x v="0"/>
    <x v="0"/>
    <s v="Pen"/>
    <n v="1204"/>
    <n v="686.28"/>
    <n v="517.72"/>
    <x v="3"/>
    <x v="0"/>
  </r>
  <r>
    <n v="1071"/>
    <d v="2024-05-08T00:00:00"/>
    <x v="1"/>
    <x v="1"/>
    <s v="Printer Paper"/>
    <n v="819"/>
    <n v="458.64"/>
    <n v="360.36"/>
    <x v="3"/>
    <x v="0"/>
  </r>
  <r>
    <n v="1072"/>
    <d v="2024-05-09T00:00:00"/>
    <x v="2"/>
    <x v="0"/>
    <s v="Products"/>
    <n v="1044"/>
    <n v="824.76"/>
    <n v="219.24"/>
    <x v="3"/>
    <x v="0"/>
  </r>
  <r>
    <n v="1073"/>
    <d v="2024-05-10T00:00:00"/>
    <x v="3"/>
    <x v="1"/>
    <s v="laptops"/>
    <n v="1188"/>
    <n v="784.08"/>
    <n v="403.91999999999996"/>
    <x v="3"/>
    <x v="0"/>
  </r>
  <r>
    <n v="1074"/>
    <d v="2024-05-11T00:00:00"/>
    <x v="0"/>
    <x v="2"/>
    <s v="Phones"/>
    <n v="1573"/>
    <n v="833.69"/>
    <n v="739.31"/>
    <x v="3"/>
    <x v="0"/>
  </r>
  <r>
    <n v="1075"/>
    <d v="2024-05-12T00:00:00"/>
    <x v="1"/>
    <x v="0"/>
    <s v="Chairs"/>
    <n v="1968"/>
    <n v="1436.64"/>
    <n v="531.3599999999999"/>
    <x v="3"/>
    <x v="0"/>
  </r>
  <r>
    <n v="1076"/>
    <d v="2024-05-13T00:00:00"/>
    <x v="2"/>
    <x v="1"/>
    <s v="Tablet"/>
    <n v="948"/>
    <n v="663.6"/>
    <n v="284.39999999999998"/>
    <x v="3"/>
    <x v="0"/>
  </r>
  <r>
    <n v="1077"/>
    <d v="2024-05-14T00:00:00"/>
    <x v="3"/>
    <x v="0"/>
    <s v="Desk"/>
    <n v="1837"/>
    <n v="1047.0899999999999"/>
    <n v="789.91000000000008"/>
    <x v="3"/>
    <x v="0"/>
  </r>
  <r>
    <n v="1078"/>
    <d v="2024-05-15T00:00:00"/>
    <x v="0"/>
    <x v="1"/>
    <s v="Cabinet"/>
    <n v="743"/>
    <n v="594.4"/>
    <n v="148.60000000000002"/>
    <x v="3"/>
    <x v="0"/>
  </r>
  <r>
    <n v="1079"/>
    <d v="2024-05-16T00:00:00"/>
    <x v="1"/>
    <x v="2"/>
    <s v="Notebook"/>
    <n v="1000"/>
    <n v="580"/>
    <n v="420"/>
    <x v="3"/>
    <x v="0"/>
  </r>
  <r>
    <n v="1080"/>
    <d v="2024-05-17T00:00:00"/>
    <x v="2"/>
    <x v="0"/>
    <s v="Pen"/>
    <n v="518"/>
    <n v="321.16000000000003"/>
    <n v="196.83999999999997"/>
    <x v="3"/>
    <x v="0"/>
  </r>
  <r>
    <n v="1081"/>
    <d v="2024-05-18T00:00:00"/>
    <x v="3"/>
    <x v="1"/>
    <s v="Printer Paper"/>
    <n v="379"/>
    <n v="216.03"/>
    <n v="162.97"/>
    <x v="3"/>
    <x v="0"/>
  </r>
  <r>
    <n v="1082"/>
    <d v="2024-05-19T00:00:00"/>
    <x v="0"/>
    <x v="0"/>
    <s v="Products"/>
    <n v="620"/>
    <n v="477.4"/>
    <n v="142.60000000000002"/>
    <x v="3"/>
    <x v="0"/>
  </r>
  <r>
    <n v="1083"/>
    <d v="2024-05-20T00:00:00"/>
    <x v="1"/>
    <x v="1"/>
    <s v="laptops"/>
    <n v="1155"/>
    <n v="866.25"/>
    <n v="288.75"/>
    <x v="3"/>
    <x v="0"/>
  </r>
  <r>
    <n v="1084"/>
    <d v="2024-05-21T00:00:00"/>
    <x v="2"/>
    <x v="2"/>
    <s v="Phones"/>
    <n v="928"/>
    <n v="714.56"/>
    <n v="213.44000000000005"/>
    <x v="3"/>
    <x v="0"/>
  </r>
  <r>
    <n v="1085"/>
    <d v="2024-05-22T00:00:00"/>
    <x v="3"/>
    <x v="0"/>
    <s v="Chairs"/>
    <n v="1678"/>
    <n v="839"/>
    <n v="839"/>
    <x v="3"/>
    <x v="0"/>
  </r>
  <r>
    <n v="1086"/>
    <d v="2024-05-23T00:00:00"/>
    <x v="0"/>
    <x v="1"/>
    <s v="Tablet"/>
    <n v="1471"/>
    <n v="764.92"/>
    <n v="706.08"/>
    <x v="3"/>
    <x v="0"/>
  </r>
  <r>
    <n v="1087"/>
    <d v="2024-05-24T00:00:00"/>
    <x v="1"/>
    <x v="0"/>
    <s v="Desk"/>
    <n v="1435"/>
    <n v="889.7"/>
    <n v="545.29999999999995"/>
    <x v="3"/>
    <x v="0"/>
  </r>
  <r>
    <n v="1088"/>
    <d v="2024-05-25T00:00:00"/>
    <x v="2"/>
    <x v="1"/>
    <s v="Cabinet"/>
    <n v="1517"/>
    <n v="788.84"/>
    <n v="728.16"/>
    <x v="3"/>
    <x v="0"/>
  </r>
  <r>
    <n v="1089"/>
    <d v="2024-05-26T00:00:00"/>
    <x v="3"/>
    <x v="2"/>
    <s v="Notebook"/>
    <n v="1865"/>
    <n v="1342.8"/>
    <n v="522.20000000000005"/>
    <x v="3"/>
    <x v="0"/>
  </r>
  <r>
    <n v="1090"/>
    <d v="2024-05-27T00:00:00"/>
    <x v="0"/>
    <x v="0"/>
    <s v="Pen"/>
    <n v="472"/>
    <n v="377.6"/>
    <n v="94.399999999999977"/>
    <x v="3"/>
    <x v="0"/>
  </r>
  <r>
    <n v="1091"/>
    <d v="2024-05-28T00:00:00"/>
    <x v="1"/>
    <x v="1"/>
    <s v="Printer Paper"/>
    <n v="856"/>
    <n v="539.28"/>
    <n v="316.72000000000003"/>
    <x v="3"/>
    <x v="0"/>
  </r>
  <r>
    <n v="1092"/>
    <d v="2024-05-29T00:00:00"/>
    <x v="2"/>
    <x v="0"/>
    <s v="Products"/>
    <n v="1429"/>
    <n v="1128.9100000000001"/>
    <n v="300.08999999999992"/>
    <x v="3"/>
    <x v="0"/>
  </r>
  <r>
    <n v="1093"/>
    <d v="2024-05-30T00:00:00"/>
    <x v="3"/>
    <x v="1"/>
    <s v="laptops"/>
    <n v="1729"/>
    <n v="864.5"/>
    <n v="864.5"/>
    <x v="3"/>
    <x v="0"/>
  </r>
  <r>
    <n v="1094"/>
    <d v="2024-05-31T00:00:00"/>
    <x v="0"/>
    <x v="2"/>
    <s v="Phones"/>
    <n v="1997"/>
    <n v="1218.17"/>
    <n v="778.82999999999993"/>
    <x v="3"/>
    <x v="0"/>
  </r>
  <r>
    <n v="1095"/>
    <d v="2024-06-01T00:00:00"/>
    <x v="1"/>
    <x v="0"/>
    <s v="Chairs"/>
    <n v="981"/>
    <n v="490.5"/>
    <n v="490.5"/>
    <x v="4"/>
    <x v="0"/>
  </r>
  <r>
    <n v="1096"/>
    <d v="2024-06-02T00:00:00"/>
    <x v="2"/>
    <x v="1"/>
    <s v="Tablet"/>
    <n v="930"/>
    <n v="530.1"/>
    <n v="399.9"/>
    <x v="4"/>
    <x v="0"/>
  </r>
  <r>
    <n v="1097"/>
    <d v="2024-06-03T00:00:00"/>
    <x v="3"/>
    <x v="0"/>
    <s v="Desk"/>
    <n v="1645"/>
    <n v="987"/>
    <n v="658"/>
    <x v="4"/>
    <x v="0"/>
  </r>
  <r>
    <n v="1098"/>
    <d v="2024-06-04T00:00:00"/>
    <x v="0"/>
    <x v="1"/>
    <s v="Cabinet"/>
    <n v="1714"/>
    <n v="857"/>
    <n v="857"/>
    <x v="4"/>
    <x v="0"/>
  </r>
  <r>
    <n v="1099"/>
    <d v="2024-06-05T00:00:00"/>
    <x v="1"/>
    <x v="2"/>
    <s v="Notebook"/>
    <n v="972"/>
    <n v="592.91999999999996"/>
    <n v="379.08000000000004"/>
    <x v="4"/>
    <x v="0"/>
  </r>
  <r>
    <n v="1100"/>
    <d v="2024-06-06T00:00:00"/>
    <x v="2"/>
    <x v="0"/>
    <s v="Pen"/>
    <n v="384"/>
    <n v="257.27999999999997"/>
    <n v="126.72000000000003"/>
    <x v="4"/>
    <x v="0"/>
  </r>
  <r>
    <n v="1101"/>
    <d v="2024-06-07T00:00:00"/>
    <x v="3"/>
    <x v="1"/>
    <s v="Printer Paper"/>
    <n v="1399"/>
    <n v="769.45"/>
    <n v="629.54999999999995"/>
    <x v="4"/>
    <x v="0"/>
  </r>
  <r>
    <n v="1102"/>
    <d v="2024-06-08T00:00:00"/>
    <x v="0"/>
    <x v="0"/>
    <s v="Products"/>
    <n v="1899"/>
    <n v="1386.27"/>
    <n v="512.73"/>
    <x v="4"/>
    <x v="0"/>
  </r>
  <r>
    <n v="1103"/>
    <d v="2024-06-09T00:00:00"/>
    <x v="1"/>
    <x v="1"/>
    <s v="laptops"/>
    <n v="356"/>
    <n v="242.08"/>
    <n v="113.91999999999999"/>
    <x v="4"/>
    <x v="0"/>
  </r>
  <r>
    <n v="1104"/>
    <d v="2024-06-10T00:00:00"/>
    <x v="2"/>
    <x v="2"/>
    <s v="Phones"/>
    <n v="1791"/>
    <n v="1396.98"/>
    <n v="394.02"/>
    <x v="4"/>
    <x v="0"/>
  </r>
  <r>
    <n v="1105"/>
    <d v="2024-06-11T00:00:00"/>
    <x v="3"/>
    <x v="0"/>
    <s v="Chairs"/>
    <n v="1089"/>
    <n v="729.63"/>
    <n v="359.37"/>
    <x v="4"/>
    <x v="0"/>
  </r>
  <r>
    <n v="1106"/>
    <d v="2024-06-12T00:00:00"/>
    <x v="0"/>
    <x v="1"/>
    <s v="Tablet"/>
    <n v="1325"/>
    <n v="1007"/>
    <n v="318"/>
    <x v="4"/>
    <x v="0"/>
  </r>
  <r>
    <n v="1107"/>
    <d v="2024-06-13T00:00:00"/>
    <x v="1"/>
    <x v="0"/>
    <s v="Desk"/>
    <n v="440"/>
    <n v="321.2"/>
    <n v="118.80000000000001"/>
    <x v="4"/>
    <x v="0"/>
  </r>
  <r>
    <n v="1108"/>
    <d v="2024-06-14T00:00:00"/>
    <x v="2"/>
    <x v="1"/>
    <s v="Cabinet"/>
    <n v="1715"/>
    <n v="874.65"/>
    <n v="840.35"/>
    <x v="4"/>
    <x v="0"/>
  </r>
  <r>
    <n v="1109"/>
    <d v="2024-06-15T00:00:00"/>
    <x v="3"/>
    <x v="2"/>
    <s v="Notebook"/>
    <n v="966"/>
    <n v="511.98"/>
    <n v="454.02"/>
    <x v="4"/>
    <x v="0"/>
  </r>
  <r>
    <n v="1110"/>
    <d v="2024-06-16T00:00:00"/>
    <x v="0"/>
    <x v="0"/>
    <s v="Pen"/>
    <n v="541"/>
    <n v="270.5"/>
    <n v="270.5"/>
    <x v="4"/>
    <x v="0"/>
  </r>
  <r>
    <n v="1111"/>
    <d v="2024-06-17T00:00:00"/>
    <x v="1"/>
    <x v="1"/>
    <s v="Printer Paper"/>
    <n v="1926"/>
    <n v="982.26"/>
    <n v="943.74"/>
    <x v="4"/>
    <x v="0"/>
  </r>
  <r>
    <n v="1112"/>
    <d v="2024-06-18T00:00:00"/>
    <x v="2"/>
    <x v="0"/>
    <s v="Products"/>
    <n v="1475"/>
    <n v="796.5"/>
    <n v="678.5"/>
    <x v="4"/>
    <x v="0"/>
  </r>
  <r>
    <n v="1113"/>
    <d v="2024-06-19T00:00:00"/>
    <x v="3"/>
    <x v="1"/>
    <s v="laptops"/>
    <n v="803"/>
    <n v="546.04"/>
    <n v="256.96000000000004"/>
    <x v="4"/>
    <x v="0"/>
  </r>
  <r>
    <n v="1114"/>
    <d v="2024-06-20T00:00:00"/>
    <x v="0"/>
    <x v="2"/>
    <s v="Phones"/>
    <n v="469"/>
    <n v="286.08999999999997"/>
    <n v="182.91000000000003"/>
    <x v="4"/>
    <x v="0"/>
  </r>
  <r>
    <n v="1115"/>
    <d v="2024-06-21T00:00:00"/>
    <x v="1"/>
    <x v="0"/>
    <s v="Chairs"/>
    <n v="735"/>
    <n v="507.15"/>
    <n v="227.85000000000002"/>
    <x v="4"/>
    <x v="0"/>
  </r>
  <r>
    <n v="1116"/>
    <d v="2024-06-22T00:00:00"/>
    <x v="2"/>
    <x v="1"/>
    <s v="Tablet"/>
    <n v="1039"/>
    <n v="716.91"/>
    <n v="322.09000000000003"/>
    <x v="4"/>
    <x v="0"/>
  </r>
  <r>
    <n v="1117"/>
    <d v="2024-06-23T00:00:00"/>
    <x v="3"/>
    <x v="0"/>
    <s v="Desk"/>
    <n v="1310"/>
    <n v="995.6"/>
    <n v="314.39999999999998"/>
    <x v="4"/>
    <x v="0"/>
  </r>
  <r>
    <n v="1118"/>
    <d v="2024-06-24T00:00:00"/>
    <x v="0"/>
    <x v="1"/>
    <s v="Cabinet"/>
    <n v="1647"/>
    <n v="889.38"/>
    <n v="757.62"/>
    <x v="4"/>
    <x v="0"/>
  </r>
  <r>
    <n v="1119"/>
    <d v="2024-06-25T00:00:00"/>
    <x v="1"/>
    <x v="2"/>
    <s v="Notebook"/>
    <n v="977"/>
    <n v="752.29"/>
    <n v="224.71000000000004"/>
    <x v="4"/>
    <x v="0"/>
  </r>
  <r>
    <n v="1120"/>
    <d v="2024-06-26T00:00:00"/>
    <x v="2"/>
    <x v="0"/>
    <s v="Pen"/>
    <n v="1014"/>
    <n v="719.94"/>
    <n v="294.05999999999995"/>
    <x v="4"/>
    <x v="0"/>
  </r>
  <r>
    <n v="1121"/>
    <d v="2024-06-27T00:00:00"/>
    <x v="3"/>
    <x v="1"/>
    <s v="Printer Paper"/>
    <n v="1338"/>
    <n v="722.52"/>
    <n v="615.48"/>
    <x v="4"/>
    <x v="0"/>
  </r>
  <r>
    <n v="1122"/>
    <d v="2024-06-28T00:00:00"/>
    <x v="0"/>
    <x v="0"/>
    <s v="Products"/>
    <n v="716"/>
    <n v="494.04"/>
    <n v="221.95999999999998"/>
    <x v="4"/>
    <x v="0"/>
  </r>
  <r>
    <n v="1123"/>
    <d v="2024-06-29T00:00:00"/>
    <x v="1"/>
    <x v="1"/>
    <s v="laptops"/>
    <n v="420"/>
    <n v="256.2"/>
    <n v="163.80000000000001"/>
    <x v="4"/>
    <x v="0"/>
  </r>
  <r>
    <n v="1124"/>
    <d v="2024-06-30T00:00:00"/>
    <x v="2"/>
    <x v="2"/>
    <s v="Phones"/>
    <n v="426"/>
    <n v="230.04"/>
    <n v="195.96"/>
    <x v="4"/>
    <x v="0"/>
  </r>
  <r>
    <n v="1125"/>
    <d v="2024-07-01T00:00:00"/>
    <x v="3"/>
    <x v="0"/>
    <s v="Chairs"/>
    <n v="1539"/>
    <n v="1061.9100000000001"/>
    <n v="477.08999999999992"/>
    <x v="5"/>
    <x v="0"/>
  </r>
  <r>
    <n v="1126"/>
    <d v="2024-07-02T00:00:00"/>
    <x v="0"/>
    <x v="1"/>
    <s v="Tablet"/>
    <n v="1883"/>
    <n v="1129.8"/>
    <n v="753.2"/>
    <x v="5"/>
    <x v="0"/>
  </r>
  <r>
    <n v="1127"/>
    <d v="2024-07-03T00:00:00"/>
    <x v="1"/>
    <x v="0"/>
    <s v="Desk"/>
    <n v="1558"/>
    <n v="1152.92"/>
    <n v="405.07999999999993"/>
    <x v="5"/>
    <x v="0"/>
  </r>
  <r>
    <n v="1128"/>
    <d v="2024-07-04T00:00:00"/>
    <x v="2"/>
    <x v="1"/>
    <s v="Cabinet"/>
    <n v="1621"/>
    <n v="842.92"/>
    <n v="778.08"/>
    <x v="5"/>
    <x v="0"/>
  </r>
  <r>
    <n v="1129"/>
    <d v="2024-07-05T00:00:00"/>
    <x v="3"/>
    <x v="2"/>
    <s v="Notebook"/>
    <n v="1315"/>
    <n v="999.4"/>
    <n v="315.60000000000002"/>
    <x v="5"/>
    <x v="0"/>
  </r>
  <r>
    <n v="1130"/>
    <d v="2024-07-06T00:00:00"/>
    <x v="0"/>
    <x v="0"/>
    <s v="Pen"/>
    <n v="856"/>
    <n v="462.24"/>
    <n v="393.76"/>
    <x v="5"/>
    <x v="0"/>
  </r>
  <r>
    <n v="1131"/>
    <d v="2024-07-07T00:00:00"/>
    <x v="1"/>
    <x v="1"/>
    <s v="Printer Paper"/>
    <n v="1465"/>
    <n v="966.9"/>
    <n v="498.1"/>
    <x v="5"/>
    <x v="0"/>
  </r>
  <r>
    <n v="1132"/>
    <d v="2024-07-08T00:00:00"/>
    <x v="2"/>
    <x v="0"/>
    <s v="Products"/>
    <n v="1557"/>
    <n v="1121.04"/>
    <n v="435.96000000000004"/>
    <x v="5"/>
    <x v="0"/>
  </r>
  <r>
    <n v="1133"/>
    <d v="2024-07-09T00:00:00"/>
    <x v="3"/>
    <x v="1"/>
    <s v="laptops"/>
    <n v="844"/>
    <n v="455.76"/>
    <n v="388.24"/>
    <x v="5"/>
    <x v="0"/>
  </r>
  <r>
    <n v="1134"/>
    <d v="2024-07-10T00:00:00"/>
    <x v="0"/>
    <x v="2"/>
    <s v="Phones"/>
    <n v="308"/>
    <n v="237.16"/>
    <n v="70.84"/>
    <x v="5"/>
    <x v="0"/>
  </r>
  <r>
    <n v="1135"/>
    <d v="2024-07-11T00:00:00"/>
    <x v="1"/>
    <x v="0"/>
    <s v="Chairs"/>
    <n v="678"/>
    <n v="406.8"/>
    <n v="271.2"/>
    <x v="5"/>
    <x v="0"/>
  </r>
  <r>
    <n v="1136"/>
    <d v="2024-07-12T00:00:00"/>
    <x v="2"/>
    <x v="1"/>
    <s v="Tablet"/>
    <n v="1417"/>
    <n v="736.84"/>
    <n v="680.16"/>
    <x v="5"/>
    <x v="0"/>
  </r>
  <r>
    <n v="1137"/>
    <d v="2024-07-13T00:00:00"/>
    <x v="3"/>
    <x v="0"/>
    <s v="Desk"/>
    <n v="1010"/>
    <n v="515.1"/>
    <n v="494.9"/>
    <x v="5"/>
    <x v="0"/>
  </r>
  <r>
    <n v="1138"/>
    <d v="2024-07-14T00:00:00"/>
    <x v="0"/>
    <x v="1"/>
    <s v="Cabinet"/>
    <n v="1560"/>
    <n v="889.2"/>
    <n v="670.8"/>
    <x v="5"/>
    <x v="0"/>
  </r>
  <r>
    <n v="1139"/>
    <d v="2024-07-15T00:00:00"/>
    <x v="1"/>
    <x v="2"/>
    <s v="Notebook"/>
    <n v="1656"/>
    <n v="844.56"/>
    <n v="811.44"/>
    <x v="5"/>
    <x v="0"/>
  </r>
  <r>
    <n v="1140"/>
    <d v="2024-07-16T00:00:00"/>
    <x v="2"/>
    <x v="0"/>
    <s v="Pen"/>
    <n v="839"/>
    <n v="444.67"/>
    <n v="394.33"/>
    <x v="5"/>
    <x v="0"/>
  </r>
  <r>
    <n v="1141"/>
    <d v="2024-07-17T00:00:00"/>
    <x v="3"/>
    <x v="1"/>
    <s v="Printer Paper"/>
    <n v="1449"/>
    <n v="840.42"/>
    <n v="608.58000000000004"/>
    <x v="5"/>
    <x v="0"/>
  </r>
  <r>
    <n v="1142"/>
    <d v="2024-07-18T00:00:00"/>
    <x v="0"/>
    <x v="0"/>
    <s v="Products"/>
    <n v="749"/>
    <n v="584.22"/>
    <n v="164.77999999999997"/>
    <x v="5"/>
    <x v="0"/>
  </r>
  <r>
    <n v="1143"/>
    <d v="2024-07-19T00:00:00"/>
    <x v="1"/>
    <x v="1"/>
    <s v="laptops"/>
    <n v="1651"/>
    <n v="1205.23"/>
    <n v="445.77"/>
    <x v="5"/>
    <x v="0"/>
  </r>
  <r>
    <n v="1144"/>
    <d v="2024-07-20T00:00:00"/>
    <x v="2"/>
    <x v="2"/>
    <s v="Phones"/>
    <n v="1571"/>
    <n v="864.05"/>
    <n v="706.95"/>
    <x v="5"/>
    <x v="0"/>
  </r>
  <r>
    <n v="1145"/>
    <d v="2024-07-21T00:00:00"/>
    <x v="3"/>
    <x v="0"/>
    <s v="Chairs"/>
    <n v="1157"/>
    <n v="578.5"/>
    <n v="578.5"/>
    <x v="5"/>
    <x v="0"/>
  </r>
  <r>
    <n v="1146"/>
    <d v="2024-07-22T00:00:00"/>
    <x v="0"/>
    <x v="1"/>
    <s v="Tablet"/>
    <n v="940"/>
    <n v="554.6"/>
    <n v="385.4"/>
    <x v="5"/>
    <x v="0"/>
  </r>
  <r>
    <n v="1147"/>
    <d v="2024-07-23T00:00:00"/>
    <x v="1"/>
    <x v="0"/>
    <s v="Desk"/>
    <n v="1730"/>
    <n v="1107.2"/>
    <n v="622.79999999999995"/>
    <x v="5"/>
    <x v="0"/>
  </r>
  <r>
    <n v="1148"/>
    <d v="2024-07-24T00:00:00"/>
    <x v="2"/>
    <x v="1"/>
    <s v="Cabinet"/>
    <n v="1398"/>
    <n v="1006.56"/>
    <n v="391.44000000000005"/>
    <x v="5"/>
    <x v="0"/>
  </r>
  <r>
    <n v="1149"/>
    <d v="2024-07-25T00:00:00"/>
    <x v="3"/>
    <x v="2"/>
    <s v="Notebook"/>
    <n v="1316"/>
    <n v="987"/>
    <n v="329"/>
    <x v="5"/>
    <x v="0"/>
  </r>
  <r>
    <n v="1150"/>
    <d v="2024-07-26T00:00:00"/>
    <x v="0"/>
    <x v="0"/>
    <s v="Pen"/>
    <n v="1009"/>
    <n v="676.03"/>
    <n v="332.97"/>
    <x v="5"/>
    <x v="0"/>
  </r>
  <r>
    <n v="1151"/>
    <d v="2024-07-27T00:00:00"/>
    <x v="1"/>
    <x v="1"/>
    <s v="Printer Paper"/>
    <n v="1548"/>
    <n v="866.88"/>
    <n v="681.12"/>
    <x v="5"/>
    <x v="0"/>
  </r>
  <r>
    <n v="1152"/>
    <d v="2024-07-28T00:00:00"/>
    <x v="2"/>
    <x v="0"/>
    <s v="Products"/>
    <n v="1445"/>
    <n v="982.6"/>
    <n v="462.4"/>
    <x v="5"/>
    <x v="0"/>
  </r>
  <r>
    <n v="1153"/>
    <d v="2024-07-29T00:00:00"/>
    <x v="3"/>
    <x v="1"/>
    <s v="laptops"/>
    <n v="453"/>
    <n v="326.16000000000003"/>
    <n v="126.83999999999997"/>
    <x v="5"/>
    <x v="0"/>
  </r>
  <r>
    <n v="1154"/>
    <d v="2024-07-30T00:00:00"/>
    <x v="0"/>
    <x v="2"/>
    <s v="Phones"/>
    <n v="1109"/>
    <n v="554.5"/>
    <n v="554.5"/>
    <x v="5"/>
    <x v="0"/>
  </r>
  <r>
    <n v="1155"/>
    <d v="2024-07-31T00:00:00"/>
    <x v="1"/>
    <x v="0"/>
    <s v="Chairs"/>
    <n v="711"/>
    <n v="462.15"/>
    <n v="248.85000000000002"/>
    <x v="5"/>
    <x v="0"/>
  </r>
  <r>
    <n v="1156"/>
    <d v="2024-08-01T00:00:00"/>
    <x v="2"/>
    <x v="1"/>
    <s v="Tablet"/>
    <n v="1929"/>
    <n v="1466.04"/>
    <n v="462.96000000000004"/>
    <x v="6"/>
    <x v="0"/>
  </r>
  <r>
    <n v="1157"/>
    <d v="2024-08-02T00:00:00"/>
    <x v="3"/>
    <x v="0"/>
    <s v="Desk"/>
    <n v="1275"/>
    <n v="765"/>
    <n v="510"/>
    <x v="6"/>
    <x v="0"/>
  </r>
  <r>
    <n v="1158"/>
    <d v="2024-08-03T00:00:00"/>
    <x v="0"/>
    <x v="1"/>
    <s v="Cabinet"/>
    <n v="445"/>
    <n v="226.95"/>
    <n v="218.05"/>
    <x v="6"/>
    <x v="0"/>
  </r>
  <r>
    <n v="1159"/>
    <d v="2024-08-04T00:00:00"/>
    <x v="1"/>
    <x v="2"/>
    <s v="Notebook"/>
    <n v="1142"/>
    <n v="856.5"/>
    <n v="285.5"/>
    <x v="6"/>
    <x v="0"/>
  </r>
  <r>
    <n v="1160"/>
    <d v="2024-08-05T00:00:00"/>
    <x v="2"/>
    <x v="0"/>
    <s v="Pen"/>
    <n v="846"/>
    <n v="465.3"/>
    <n v="380.7"/>
    <x v="6"/>
    <x v="0"/>
  </r>
  <r>
    <n v="1161"/>
    <d v="2024-08-06T00:00:00"/>
    <x v="3"/>
    <x v="1"/>
    <s v="Printer Paper"/>
    <n v="1732"/>
    <n v="917.96"/>
    <n v="814.04"/>
    <x v="6"/>
    <x v="0"/>
  </r>
  <r>
    <n v="1162"/>
    <d v="2024-08-07T00:00:00"/>
    <x v="0"/>
    <x v="0"/>
    <s v="Products"/>
    <n v="1572"/>
    <n v="1179"/>
    <n v="393"/>
    <x v="6"/>
    <x v="0"/>
  </r>
  <r>
    <n v="1163"/>
    <d v="2024-08-08T00:00:00"/>
    <x v="1"/>
    <x v="1"/>
    <s v="laptops"/>
    <n v="460"/>
    <n v="294.39999999999998"/>
    <n v="165.60000000000002"/>
    <x v="6"/>
    <x v="0"/>
  </r>
  <r>
    <n v="1164"/>
    <d v="2024-08-09T00:00:00"/>
    <x v="2"/>
    <x v="2"/>
    <s v="Phones"/>
    <n v="580"/>
    <n v="365.4"/>
    <n v="214.60000000000002"/>
    <x v="6"/>
    <x v="0"/>
  </r>
  <r>
    <n v="1165"/>
    <d v="2024-08-10T00:00:00"/>
    <x v="3"/>
    <x v="0"/>
    <s v="Chairs"/>
    <n v="1417"/>
    <n v="821.86"/>
    <n v="595.14"/>
    <x v="6"/>
    <x v="0"/>
  </r>
  <r>
    <n v="1166"/>
    <d v="2024-08-11T00:00:00"/>
    <x v="0"/>
    <x v="1"/>
    <s v="Tablet"/>
    <n v="1153"/>
    <n v="910.87"/>
    <n v="242.13"/>
    <x v="6"/>
    <x v="0"/>
  </r>
  <r>
    <n v="1167"/>
    <d v="2024-08-12T00:00:00"/>
    <x v="1"/>
    <x v="0"/>
    <s v="Desk"/>
    <n v="498"/>
    <n v="388.44"/>
    <n v="109.56"/>
    <x v="6"/>
    <x v="0"/>
  </r>
  <r>
    <n v="1168"/>
    <d v="2024-08-13T00:00:00"/>
    <x v="2"/>
    <x v="1"/>
    <s v="Cabinet"/>
    <n v="353"/>
    <n v="261.22000000000003"/>
    <n v="91.779999999999973"/>
    <x v="6"/>
    <x v="0"/>
  </r>
  <r>
    <n v="1169"/>
    <d v="2024-08-14T00:00:00"/>
    <x v="3"/>
    <x v="2"/>
    <s v="Notebook"/>
    <n v="984"/>
    <n v="590.4"/>
    <n v="393.6"/>
    <x v="6"/>
    <x v="0"/>
  </r>
  <r>
    <n v="1170"/>
    <d v="2024-08-15T00:00:00"/>
    <x v="0"/>
    <x v="0"/>
    <s v="Pen"/>
    <n v="1293"/>
    <n v="724.08"/>
    <n v="568.91999999999996"/>
    <x v="6"/>
    <x v="0"/>
  </r>
  <r>
    <n v="1171"/>
    <d v="2024-08-16T00:00:00"/>
    <x v="1"/>
    <x v="1"/>
    <s v="Printer Paper"/>
    <n v="412"/>
    <n v="222.48"/>
    <n v="189.52"/>
    <x v="6"/>
    <x v="0"/>
  </r>
  <r>
    <n v="1172"/>
    <d v="2024-08-17T00:00:00"/>
    <x v="2"/>
    <x v="0"/>
    <s v="Products"/>
    <n v="1987"/>
    <n v="1470.38"/>
    <n v="516.61999999999989"/>
    <x v="6"/>
    <x v="0"/>
  </r>
  <r>
    <n v="1173"/>
    <d v="2024-08-18T00:00:00"/>
    <x v="3"/>
    <x v="1"/>
    <s v="laptops"/>
    <n v="421"/>
    <n v="252.6"/>
    <n v="168.4"/>
    <x v="6"/>
    <x v="0"/>
  </r>
  <r>
    <n v="1174"/>
    <d v="2024-08-19T00:00:00"/>
    <x v="0"/>
    <x v="2"/>
    <s v="Phones"/>
    <n v="1714"/>
    <n v="1182.6600000000001"/>
    <n v="531.33999999999992"/>
    <x v="6"/>
    <x v="0"/>
  </r>
  <r>
    <n v="1175"/>
    <d v="2024-08-20T00:00:00"/>
    <x v="1"/>
    <x v="0"/>
    <s v="Chairs"/>
    <n v="1218"/>
    <n v="742.98"/>
    <n v="475.02"/>
    <x v="6"/>
    <x v="0"/>
  </r>
  <r>
    <n v="1176"/>
    <d v="2024-08-21T00:00:00"/>
    <x v="2"/>
    <x v="1"/>
    <s v="Tablet"/>
    <n v="1175"/>
    <n v="622.75"/>
    <n v="552.25"/>
    <x v="6"/>
    <x v="0"/>
  </r>
  <r>
    <n v="1177"/>
    <d v="2024-08-22T00:00:00"/>
    <x v="3"/>
    <x v="0"/>
    <s v="Desk"/>
    <n v="681"/>
    <n v="449.46"/>
    <n v="231.54000000000002"/>
    <x v="6"/>
    <x v="0"/>
  </r>
  <r>
    <n v="1178"/>
    <d v="2024-08-23T00:00:00"/>
    <x v="0"/>
    <x v="1"/>
    <s v="Cabinet"/>
    <n v="1546"/>
    <n v="773"/>
    <n v="773"/>
    <x v="6"/>
    <x v="0"/>
  </r>
  <r>
    <n v="1179"/>
    <d v="2024-08-24T00:00:00"/>
    <x v="1"/>
    <x v="2"/>
    <s v="Notebook"/>
    <n v="405"/>
    <n v="226.8"/>
    <n v="178.2"/>
    <x v="6"/>
    <x v="0"/>
  </r>
  <r>
    <n v="1180"/>
    <d v="2024-08-25T00:00:00"/>
    <x v="2"/>
    <x v="0"/>
    <s v="Pen"/>
    <n v="550"/>
    <n v="390.5"/>
    <n v="159.5"/>
    <x v="6"/>
    <x v="0"/>
  </r>
  <r>
    <n v="1181"/>
    <d v="2024-08-26T00:00:00"/>
    <x v="3"/>
    <x v="1"/>
    <s v="Printer Paper"/>
    <n v="1967"/>
    <n v="1573.6"/>
    <n v="393.40000000000009"/>
    <x v="6"/>
    <x v="0"/>
  </r>
  <r>
    <n v="1182"/>
    <d v="2024-08-27T00:00:00"/>
    <x v="0"/>
    <x v="0"/>
    <s v="Products"/>
    <n v="1569"/>
    <n v="831.57"/>
    <n v="737.43"/>
    <x v="6"/>
    <x v="0"/>
  </r>
  <r>
    <n v="1183"/>
    <d v="2024-08-28T00:00:00"/>
    <x v="1"/>
    <x v="1"/>
    <s v="laptops"/>
    <n v="1824"/>
    <n v="1094.4000000000001"/>
    <n v="729.59999999999991"/>
    <x v="6"/>
    <x v="0"/>
  </r>
  <r>
    <n v="1184"/>
    <d v="2024-08-29T00:00:00"/>
    <x v="2"/>
    <x v="2"/>
    <s v="Phones"/>
    <n v="699"/>
    <n v="489.3"/>
    <n v="209.7"/>
    <x v="6"/>
    <x v="0"/>
  </r>
  <r>
    <n v="1185"/>
    <d v="2024-08-30T00:00:00"/>
    <x v="3"/>
    <x v="0"/>
    <s v="Chairs"/>
    <n v="496"/>
    <n v="381.92"/>
    <n v="114.07999999999998"/>
    <x v="6"/>
    <x v="0"/>
  </r>
  <r>
    <n v="1186"/>
    <d v="2024-08-31T00:00:00"/>
    <x v="0"/>
    <x v="1"/>
    <s v="Tablet"/>
    <n v="1881"/>
    <n v="1410.75"/>
    <n v="470.25"/>
    <x v="6"/>
    <x v="0"/>
  </r>
  <r>
    <n v="1187"/>
    <d v="2024-09-01T00:00:00"/>
    <x v="1"/>
    <x v="0"/>
    <s v="Desk"/>
    <n v="512"/>
    <n v="384"/>
    <n v="128"/>
    <x v="7"/>
    <x v="0"/>
  </r>
  <r>
    <n v="1188"/>
    <d v="2024-09-02T00:00:00"/>
    <x v="2"/>
    <x v="1"/>
    <s v="Cabinet"/>
    <n v="449"/>
    <n v="354.71"/>
    <n v="94.29000000000002"/>
    <x v="7"/>
    <x v="0"/>
  </r>
  <r>
    <n v="1189"/>
    <d v="2024-09-03T00:00:00"/>
    <x v="3"/>
    <x v="2"/>
    <s v="Notebook"/>
    <n v="1786"/>
    <n v="1196.6199999999999"/>
    <n v="589.38000000000011"/>
    <x v="7"/>
    <x v="0"/>
  </r>
  <r>
    <n v="1190"/>
    <d v="2024-09-04T00:00:00"/>
    <x v="0"/>
    <x v="0"/>
    <s v="Pen"/>
    <n v="1311"/>
    <n v="970.14"/>
    <n v="340.86"/>
    <x v="7"/>
    <x v="0"/>
  </r>
  <r>
    <n v="1191"/>
    <d v="2024-09-05T00:00:00"/>
    <x v="1"/>
    <x v="1"/>
    <s v="Printer Paper"/>
    <n v="1501"/>
    <n v="1155.77"/>
    <n v="345.23"/>
    <x v="7"/>
    <x v="0"/>
  </r>
  <r>
    <n v="1192"/>
    <d v="2024-09-06T00:00:00"/>
    <x v="2"/>
    <x v="0"/>
    <s v="Products"/>
    <n v="736"/>
    <n v="566.72"/>
    <n v="169.27999999999997"/>
    <x v="7"/>
    <x v="0"/>
  </r>
  <r>
    <n v="1193"/>
    <d v="2024-09-07T00:00:00"/>
    <x v="3"/>
    <x v="1"/>
    <s v="laptops"/>
    <n v="466"/>
    <n v="372.8"/>
    <n v="93.199999999999989"/>
    <x v="7"/>
    <x v="0"/>
  </r>
  <r>
    <n v="1194"/>
    <d v="2024-09-08T00:00:00"/>
    <x v="0"/>
    <x v="2"/>
    <s v="Phones"/>
    <n v="866"/>
    <n v="433"/>
    <n v="433"/>
    <x v="7"/>
    <x v="0"/>
  </r>
  <r>
    <n v="1195"/>
    <d v="2024-09-09T00:00:00"/>
    <x v="1"/>
    <x v="0"/>
    <s v="Chairs"/>
    <n v="1355"/>
    <n v="975.6"/>
    <n v="379.4"/>
    <x v="7"/>
    <x v="0"/>
  </r>
  <r>
    <n v="1196"/>
    <d v="2024-09-10T00:00:00"/>
    <x v="2"/>
    <x v="1"/>
    <s v="Tablet"/>
    <n v="1103"/>
    <n v="628.71"/>
    <n v="474.28999999999996"/>
    <x v="7"/>
    <x v="0"/>
  </r>
  <r>
    <n v="1197"/>
    <d v="2024-09-11T00:00:00"/>
    <x v="3"/>
    <x v="0"/>
    <s v="Desk"/>
    <n v="632"/>
    <n v="334.96"/>
    <n v="297.04000000000002"/>
    <x v="7"/>
    <x v="0"/>
  </r>
  <r>
    <n v="1198"/>
    <d v="2024-09-12T00:00:00"/>
    <x v="0"/>
    <x v="1"/>
    <s v="Cabinet"/>
    <n v="399"/>
    <n v="299.25"/>
    <n v="99.75"/>
    <x v="7"/>
    <x v="0"/>
  </r>
  <r>
    <n v="1199"/>
    <d v="2024-09-13T00:00:00"/>
    <x v="1"/>
    <x v="2"/>
    <s v="Notebook"/>
    <n v="1226"/>
    <n v="686.56"/>
    <n v="539.44000000000005"/>
    <x v="7"/>
    <x v="0"/>
  </r>
  <r>
    <n v="1200"/>
    <d v="2024-09-14T00:00:00"/>
    <x v="2"/>
    <x v="0"/>
    <s v="Pen"/>
    <n v="970"/>
    <n v="543.20000000000005"/>
    <n v="426.79999999999995"/>
    <x v="7"/>
    <x v="0"/>
  </r>
  <r>
    <n v="1201"/>
    <d v="2024-09-15T00:00:00"/>
    <x v="3"/>
    <x v="1"/>
    <s v="Printer Paper"/>
    <n v="521"/>
    <n v="354.28"/>
    <n v="166.72000000000003"/>
    <x v="7"/>
    <x v="0"/>
  </r>
  <r>
    <n v="1202"/>
    <d v="2024-09-16T00:00:00"/>
    <x v="0"/>
    <x v="0"/>
    <s v="Products"/>
    <n v="1774"/>
    <n v="1135.3599999999999"/>
    <n v="638.6400000000001"/>
    <x v="7"/>
    <x v="0"/>
  </r>
  <r>
    <n v="1203"/>
    <d v="2024-09-17T00:00:00"/>
    <x v="1"/>
    <x v="1"/>
    <s v="laptops"/>
    <n v="1538"/>
    <n v="830.52"/>
    <n v="707.48"/>
    <x v="7"/>
    <x v="0"/>
  </r>
  <r>
    <n v="1204"/>
    <d v="2024-09-18T00:00:00"/>
    <x v="2"/>
    <x v="2"/>
    <s v="Phones"/>
    <n v="1618"/>
    <n v="1051.7"/>
    <n v="566.29999999999995"/>
    <x v="7"/>
    <x v="0"/>
  </r>
  <r>
    <n v="1205"/>
    <d v="2024-09-19T00:00:00"/>
    <x v="3"/>
    <x v="0"/>
    <s v="Chairs"/>
    <n v="1982"/>
    <n v="1030.6400000000001"/>
    <n v="951.3599999999999"/>
    <x v="7"/>
    <x v="0"/>
  </r>
  <r>
    <n v="1206"/>
    <d v="2024-09-20T00:00:00"/>
    <x v="0"/>
    <x v="1"/>
    <s v="Tablet"/>
    <n v="1472"/>
    <n v="853.76"/>
    <n v="618.24"/>
    <x v="7"/>
    <x v="0"/>
  </r>
  <r>
    <n v="1207"/>
    <d v="2024-09-21T00:00:00"/>
    <x v="1"/>
    <x v="0"/>
    <s v="Desk"/>
    <n v="1374"/>
    <n v="961.8"/>
    <n v="412.20000000000005"/>
    <x v="7"/>
    <x v="0"/>
  </r>
  <r>
    <n v="1208"/>
    <d v="2024-09-22T00:00:00"/>
    <x v="2"/>
    <x v="1"/>
    <s v="Cabinet"/>
    <n v="1667"/>
    <n v="1116.8900000000001"/>
    <n v="550.1099999999999"/>
    <x v="7"/>
    <x v="0"/>
  </r>
  <r>
    <n v="1209"/>
    <d v="2024-09-23T00:00:00"/>
    <x v="3"/>
    <x v="2"/>
    <s v="Notebook"/>
    <n v="1580"/>
    <n v="1121.8"/>
    <n v="458.20000000000005"/>
    <x v="7"/>
    <x v="0"/>
  </r>
  <r>
    <n v="1210"/>
    <d v="2024-09-24T00:00:00"/>
    <x v="0"/>
    <x v="0"/>
    <s v="Pen"/>
    <n v="1253"/>
    <n v="789.39"/>
    <n v="463.61"/>
    <x v="7"/>
    <x v="0"/>
  </r>
  <r>
    <n v="1211"/>
    <d v="2024-09-25T00:00:00"/>
    <x v="1"/>
    <x v="1"/>
    <s v="Printer Paper"/>
    <n v="1257"/>
    <n v="1005.6"/>
    <n v="251.39999999999998"/>
    <x v="7"/>
    <x v="0"/>
  </r>
  <r>
    <n v="1212"/>
    <d v="2024-09-26T00:00:00"/>
    <x v="2"/>
    <x v="0"/>
    <s v="Products"/>
    <n v="1619"/>
    <n v="922.83"/>
    <n v="696.17"/>
    <x v="7"/>
    <x v="0"/>
  </r>
  <r>
    <n v="1213"/>
    <d v="2024-09-27T00:00:00"/>
    <x v="3"/>
    <x v="1"/>
    <s v="laptops"/>
    <n v="1978"/>
    <n v="1503.28"/>
    <n v="474.72"/>
    <x v="7"/>
    <x v="0"/>
  </r>
  <r>
    <n v="1214"/>
    <d v="2024-09-28T00:00:00"/>
    <x v="0"/>
    <x v="2"/>
    <s v="Phones"/>
    <n v="1869"/>
    <n v="953.19"/>
    <n v="915.81"/>
    <x v="7"/>
    <x v="0"/>
  </r>
  <r>
    <n v="1215"/>
    <d v="2024-09-29T00:00:00"/>
    <x v="1"/>
    <x v="0"/>
    <s v="Chairs"/>
    <n v="1502"/>
    <n v="991.32"/>
    <n v="510.67999999999995"/>
    <x v="7"/>
    <x v="0"/>
  </r>
  <r>
    <n v="1216"/>
    <d v="2024-09-30T00:00:00"/>
    <x v="2"/>
    <x v="1"/>
    <s v="Tablet"/>
    <n v="1173"/>
    <n v="903.21"/>
    <n v="269.78999999999996"/>
    <x v="7"/>
    <x v="0"/>
  </r>
  <r>
    <n v="1217"/>
    <d v="2024-10-01T00:00:00"/>
    <x v="3"/>
    <x v="0"/>
    <s v="Desk"/>
    <n v="1195"/>
    <n v="920.15"/>
    <n v="274.85000000000002"/>
    <x v="8"/>
    <x v="0"/>
  </r>
  <r>
    <n v="1218"/>
    <d v="2024-10-02T00:00:00"/>
    <x v="0"/>
    <x v="1"/>
    <s v="Cabinet"/>
    <n v="723"/>
    <n v="441.03"/>
    <n v="281.97000000000003"/>
    <x v="8"/>
    <x v="0"/>
  </r>
  <r>
    <n v="1219"/>
    <d v="2024-10-03T00:00:00"/>
    <x v="1"/>
    <x v="2"/>
    <s v="Notebook"/>
    <n v="883"/>
    <n v="688.74"/>
    <n v="194.26"/>
    <x v="8"/>
    <x v="0"/>
  </r>
  <r>
    <n v="1220"/>
    <d v="2024-10-04T00:00:00"/>
    <x v="2"/>
    <x v="0"/>
    <s v="Pen"/>
    <n v="1111"/>
    <n v="755.48"/>
    <n v="355.52"/>
    <x v="8"/>
    <x v="0"/>
  </r>
  <r>
    <n v="1221"/>
    <d v="2024-10-05T00:00:00"/>
    <x v="3"/>
    <x v="1"/>
    <s v="Printer Paper"/>
    <n v="812"/>
    <n v="592.76"/>
    <n v="219.24"/>
    <x v="8"/>
    <x v="0"/>
  </r>
  <r>
    <n v="1222"/>
    <d v="2024-10-06T00:00:00"/>
    <x v="0"/>
    <x v="0"/>
    <s v="Products"/>
    <n v="690"/>
    <n v="407.1"/>
    <n v="282.89999999999998"/>
    <x v="8"/>
    <x v="0"/>
  </r>
  <r>
    <n v="1223"/>
    <d v="2024-10-07T00:00:00"/>
    <x v="1"/>
    <x v="1"/>
    <s v="laptops"/>
    <n v="1664"/>
    <n v="1297.92"/>
    <n v="366.07999999999993"/>
    <x v="8"/>
    <x v="0"/>
  </r>
  <r>
    <n v="1224"/>
    <d v="2024-10-08T00:00:00"/>
    <x v="2"/>
    <x v="2"/>
    <s v="Phones"/>
    <n v="699"/>
    <n v="468.33"/>
    <n v="230.67000000000002"/>
    <x v="8"/>
    <x v="0"/>
  </r>
  <r>
    <n v="1225"/>
    <d v="2024-10-09T00:00:00"/>
    <x v="3"/>
    <x v="0"/>
    <s v="Chairs"/>
    <n v="1056"/>
    <n v="570.24"/>
    <n v="485.76"/>
    <x v="8"/>
    <x v="0"/>
  </r>
  <r>
    <n v="1226"/>
    <d v="2024-10-10T00:00:00"/>
    <x v="0"/>
    <x v="1"/>
    <s v="Tablet"/>
    <n v="1141"/>
    <n v="661.78"/>
    <n v="479.22"/>
    <x v="8"/>
    <x v="0"/>
  </r>
  <r>
    <n v="1227"/>
    <d v="2024-10-11T00:00:00"/>
    <x v="1"/>
    <x v="0"/>
    <s v="Desk"/>
    <n v="1025"/>
    <n v="727.75"/>
    <n v="297.25"/>
    <x v="8"/>
    <x v="0"/>
  </r>
  <r>
    <n v="1228"/>
    <d v="2024-10-12T00:00:00"/>
    <x v="2"/>
    <x v="1"/>
    <s v="Cabinet"/>
    <n v="575"/>
    <n v="293.25"/>
    <n v="281.75"/>
    <x v="8"/>
    <x v="0"/>
  </r>
  <r>
    <n v="1229"/>
    <d v="2024-10-13T00:00:00"/>
    <x v="3"/>
    <x v="2"/>
    <s v="Notebook"/>
    <n v="765"/>
    <n v="390.15"/>
    <n v="374.85"/>
    <x v="8"/>
    <x v="0"/>
  </r>
  <r>
    <n v="1230"/>
    <d v="2024-10-14T00:00:00"/>
    <x v="0"/>
    <x v="0"/>
    <s v="Pen"/>
    <n v="1997"/>
    <n v="1178.23"/>
    <n v="818.77"/>
    <x v="8"/>
    <x v="0"/>
  </r>
  <r>
    <n v="1231"/>
    <d v="2024-10-15T00:00:00"/>
    <x v="1"/>
    <x v="1"/>
    <s v="Printer Paper"/>
    <n v="1506"/>
    <n v="798.18"/>
    <n v="707.82"/>
    <x v="8"/>
    <x v="0"/>
  </r>
  <r>
    <n v="1232"/>
    <d v="2024-10-16T00:00:00"/>
    <x v="2"/>
    <x v="0"/>
    <s v="Products"/>
    <n v="313"/>
    <n v="225.36"/>
    <n v="87.639999999999986"/>
    <x v="8"/>
    <x v="0"/>
  </r>
  <r>
    <n v="1233"/>
    <d v="2024-10-17T00:00:00"/>
    <x v="3"/>
    <x v="1"/>
    <s v="laptops"/>
    <n v="963"/>
    <n v="712.62"/>
    <n v="250.38"/>
    <x v="8"/>
    <x v="0"/>
  </r>
  <r>
    <n v="1234"/>
    <d v="2024-10-18T00:00:00"/>
    <x v="0"/>
    <x v="2"/>
    <s v="Phones"/>
    <n v="1991"/>
    <n v="1533.07"/>
    <n v="457.93000000000006"/>
    <x v="8"/>
    <x v="0"/>
  </r>
  <r>
    <n v="1235"/>
    <d v="2024-10-19T00:00:00"/>
    <x v="1"/>
    <x v="0"/>
    <s v="Chairs"/>
    <n v="402"/>
    <n v="217.08"/>
    <n v="184.92"/>
    <x v="8"/>
    <x v="0"/>
  </r>
  <r>
    <n v="1236"/>
    <d v="2024-10-20T00:00:00"/>
    <x v="2"/>
    <x v="1"/>
    <s v="Tablet"/>
    <n v="1448"/>
    <n v="767.44"/>
    <n v="680.56"/>
    <x v="8"/>
    <x v="0"/>
  </r>
  <r>
    <n v="1237"/>
    <d v="2024-10-21T00:00:00"/>
    <x v="3"/>
    <x v="0"/>
    <s v="Desk"/>
    <n v="889"/>
    <n v="506.73"/>
    <n v="382.27"/>
    <x v="8"/>
    <x v="0"/>
  </r>
  <r>
    <n v="1238"/>
    <d v="2024-10-22T00:00:00"/>
    <x v="0"/>
    <x v="1"/>
    <s v="Cabinet"/>
    <n v="1152"/>
    <n v="748.8"/>
    <n v="403.20000000000005"/>
    <x v="8"/>
    <x v="0"/>
  </r>
  <r>
    <n v="1239"/>
    <d v="2024-10-23T00:00:00"/>
    <x v="1"/>
    <x v="2"/>
    <s v="Notebook"/>
    <n v="1712"/>
    <n v="1147.04"/>
    <n v="564.96"/>
    <x v="8"/>
    <x v="0"/>
  </r>
  <r>
    <n v="1240"/>
    <d v="2024-10-24T00:00:00"/>
    <x v="2"/>
    <x v="0"/>
    <s v="Pen"/>
    <n v="1324"/>
    <n v="926.8"/>
    <n v="397.20000000000005"/>
    <x v="8"/>
    <x v="0"/>
  </r>
  <r>
    <n v="1241"/>
    <d v="2024-10-25T00:00:00"/>
    <x v="3"/>
    <x v="1"/>
    <s v="Printer Paper"/>
    <n v="1603"/>
    <n v="1234.31"/>
    <n v="368.69000000000005"/>
    <x v="8"/>
    <x v="0"/>
  </r>
  <r>
    <n v="1242"/>
    <d v="2024-10-26T00:00:00"/>
    <x v="0"/>
    <x v="0"/>
    <s v="Products"/>
    <n v="346"/>
    <n v="211.06"/>
    <n v="134.94"/>
    <x v="8"/>
    <x v="0"/>
  </r>
  <r>
    <n v="1243"/>
    <d v="2024-10-27T00:00:00"/>
    <x v="1"/>
    <x v="1"/>
    <s v="laptops"/>
    <n v="1864"/>
    <n v="932"/>
    <n v="932"/>
    <x v="8"/>
    <x v="0"/>
  </r>
  <r>
    <n v="1244"/>
    <d v="2024-10-28T00:00:00"/>
    <x v="2"/>
    <x v="2"/>
    <s v="Phones"/>
    <n v="1662"/>
    <n v="1030.44"/>
    <n v="631.55999999999995"/>
    <x v="8"/>
    <x v="0"/>
  </r>
  <r>
    <n v="1245"/>
    <d v="2024-10-29T00:00:00"/>
    <x v="3"/>
    <x v="0"/>
    <s v="Chairs"/>
    <n v="404"/>
    <n v="303"/>
    <n v="101"/>
    <x v="8"/>
    <x v="0"/>
  </r>
  <r>
    <n v="1246"/>
    <d v="2024-10-30T00:00:00"/>
    <x v="0"/>
    <x v="1"/>
    <s v="Tablet"/>
    <n v="737"/>
    <n v="427.46"/>
    <n v="309.54000000000002"/>
    <x v="8"/>
    <x v="0"/>
  </r>
  <r>
    <n v="1247"/>
    <d v="2024-10-31T00:00:00"/>
    <x v="1"/>
    <x v="0"/>
    <s v="Desk"/>
    <n v="1284"/>
    <n v="924.48"/>
    <n v="359.52"/>
    <x v="8"/>
    <x v="0"/>
  </r>
  <r>
    <n v="1248"/>
    <d v="2024-11-01T00:00:00"/>
    <x v="2"/>
    <x v="1"/>
    <s v="Cabinet"/>
    <n v="681"/>
    <n v="517.55999999999995"/>
    <n v="163.44000000000005"/>
    <x v="9"/>
    <x v="0"/>
  </r>
  <r>
    <n v="1249"/>
    <d v="2024-11-02T00:00:00"/>
    <x v="3"/>
    <x v="2"/>
    <s v="Notebook"/>
    <n v="1757"/>
    <n v="1335.32"/>
    <n v="421.68000000000006"/>
    <x v="9"/>
    <x v="0"/>
  </r>
  <r>
    <n v="1250"/>
    <d v="2024-11-03T00:00:00"/>
    <x v="0"/>
    <x v="0"/>
    <s v="Pen"/>
    <n v="1029"/>
    <n v="679.14"/>
    <n v="349.86"/>
    <x v="9"/>
    <x v="0"/>
  </r>
  <r>
    <n v="1251"/>
    <d v="2024-11-04T00:00:00"/>
    <x v="1"/>
    <x v="1"/>
    <s v="Printer Paper"/>
    <n v="1351"/>
    <n v="1026.76"/>
    <n v="324.24"/>
    <x v="9"/>
    <x v="0"/>
  </r>
  <r>
    <n v="1252"/>
    <d v="2024-11-05T00:00:00"/>
    <x v="2"/>
    <x v="0"/>
    <s v="Products"/>
    <n v="1870"/>
    <n v="1122"/>
    <n v="748"/>
    <x v="9"/>
    <x v="0"/>
  </r>
  <r>
    <n v="1253"/>
    <d v="2024-11-06T00:00:00"/>
    <x v="3"/>
    <x v="1"/>
    <s v="laptops"/>
    <n v="781"/>
    <n v="523.27"/>
    <n v="257.73"/>
    <x v="9"/>
    <x v="0"/>
  </r>
  <r>
    <n v="1254"/>
    <d v="2024-11-07T00:00:00"/>
    <x v="0"/>
    <x v="2"/>
    <s v="Phones"/>
    <n v="1487"/>
    <n v="1174.73"/>
    <n v="312.27"/>
    <x v="9"/>
    <x v="0"/>
  </r>
  <r>
    <n v="1255"/>
    <d v="2024-11-08T00:00:00"/>
    <x v="1"/>
    <x v="0"/>
    <s v="Chairs"/>
    <n v="684"/>
    <n v="403.56"/>
    <n v="280.44"/>
    <x v="9"/>
    <x v="0"/>
  </r>
  <r>
    <n v="1256"/>
    <d v="2024-11-09T00:00:00"/>
    <x v="2"/>
    <x v="1"/>
    <s v="Tablet"/>
    <n v="664"/>
    <n v="444.88"/>
    <n v="219.12"/>
    <x v="9"/>
    <x v="0"/>
  </r>
  <r>
    <n v="1257"/>
    <d v="2024-11-10T00:00:00"/>
    <x v="3"/>
    <x v="0"/>
    <s v="Desk"/>
    <n v="1085"/>
    <n v="835.45"/>
    <n v="249.54999999999995"/>
    <x v="9"/>
    <x v="0"/>
  </r>
  <r>
    <n v="1258"/>
    <d v="2024-11-11T00:00:00"/>
    <x v="0"/>
    <x v="1"/>
    <s v="Cabinet"/>
    <n v="1958"/>
    <n v="1488.08"/>
    <n v="469.92000000000007"/>
    <x v="9"/>
    <x v="0"/>
  </r>
  <r>
    <n v="1259"/>
    <d v="2024-11-12T00:00:00"/>
    <x v="1"/>
    <x v="2"/>
    <s v="Notebook"/>
    <n v="1069"/>
    <n v="694.85"/>
    <n v="374.15"/>
    <x v="9"/>
    <x v="0"/>
  </r>
  <r>
    <n v="1260"/>
    <d v="2024-11-13T00:00:00"/>
    <x v="2"/>
    <x v="0"/>
    <s v="Pen"/>
    <n v="1687"/>
    <n v="1079.68"/>
    <n v="607.31999999999994"/>
    <x v="9"/>
    <x v="0"/>
  </r>
  <r>
    <n v="1261"/>
    <d v="2024-11-14T00:00:00"/>
    <x v="3"/>
    <x v="1"/>
    <s v="Printer Paper"/>
    <n v="999"/>
    <n v="599.4"/>
    <n v="399.6"/>
    <x v="9"/>
    <x v="0"/>
  </r>
  <r>
    <n v="1262"/>
    <d v="2024-11-15T00:00:00"/>
    <x v="0"/>
    <x v="0"/>
    <s v="Products"/>
    <n v="433"/>
    <n v="342.07"/>
    <n v="90.93"/>
    <x v="9"/>
    <x v="0"/>
  </r>
  <r>
    <n v="1263"/>
    <d v="2024-11-16T00:00:00"/>
    <x v="1"/>
    <x v="1"/>
    <s v="laptops"/>
    <n v="557"/>
    <n v="395.47"/>
    <n v="161.52999999999997"/>
    <x v="9"/>
    <x v="0"/>
  </r>
  <r>
    <n v="1264"/>
    <d v="2024-11-17T00:00:00"/>
    <x v="2"/>
    <x v="2"/>
    <s v="Phones"/>
    <n v="349"/>
    <n v="230.34"/>
    <n v="118.66"/>
    <x v="9"/>
    <x v="0"/>
  </r>
  <r>
    <n v="1265"/>
    <d v="2024-11-18T00:00:00"/>
    <x v="3"/>
    <x v="0"/>
    <s v="Chairs"/>
    <n v="1954"/>
    <n v="1445.96"/>
    <n v="508.03999999999996"/>
    <x v="9"/>
    <x v="0"/>
  </r>
  <r>
    <n v="1266"/>
    <d v="2024-11-19T00:00:00"/>
    <x v="0"/>
    <x v="1"/>
    <s v="Tablet"/>
    <n v="1771"/>
    <n v="903.21"/>
    <n v="867.79"/>
    <x v="9"/>
    <x v="0"/>
  </r>
  <r>
    <n v="1267"/>
    <d v="2024-11-20T00:00:00"/>
    <x v="1"/>
    <x v="0"/>
    <s v="Desk"/>
    <n v="631"/>
    <n v="378.6"/>
    <n v="252.39999999999998"/>
    <x v="9"/>
    <x v="0"/>
  </r>
  <r>
    <n v="1268"/>
    <d v="2024-11-21T00:00:00"/>
    <x v="2"/>
    <x v="1"/>
    <s v="Cabinet"/>
    <n v="1169"/>
    <n v="876.75"/>
    <n v="292.25"/>
    <x v="9"/>
    <x v="0"/>
  </r>
  <r>
    <n v="1269"/>
    <d v="2024-11-22T00:00:00"/>
    <x v="3"/>
    <x v="2"/>
    <s v="Notebook"/>
    <n v="1295"/>
    <n v="751.1"/>
    <n v="543.9"/>
    <x v="9"/>
    <x v="0"/>
  </r>
  <r>
    <n v="1270"/>
    <d v="2024-11-23T00:00:00"/>
    <x v="0"/>
    <x v="0"/>
    <s v="Pen"/>
    <n v="1660"/>
    <n v="1178.5999999999999"/>
    <n v="481.40000000000009"/>
    <x v="9"/>
    <x v="0"/>
  </r>
  <r>
    <n v="1271"/>
    <d v="2024-11-24T00:00:00"/>
    <x v="1"/>
    <x v="1"/>
    <s v="Printer Paper"/>
    <n v="1788"/>
    <n v="965.52"/>
    <n v="822.48"/>
    <x v="9"/>
    <x v="0"/>
  </r>
  <r>
    <n v="1272"/>
    <d v="2024-11-25T00:00:00"/>
    <x v="2"/>
    <x v="0"/>
    <s v="Products"/>
    <n v="1409"/>
    <n v="845.4"/>
    <n v="563.6"/>
    <x v="9"/>
    <x v="0"/>
  </r>
  <r>
    <n v="1273"/>
    <d v="2024-11-26T00:00:00"/>
    <x v="3"/>
    <x v="1"/>
    <s v="laptops"/>
    <n v="1895"/>
    <n v="1212.8"/>
    <n v="682.2"/>
    <x v="9"/>
    <x v="0"/>
  </r>
  <r>
    <n v="1274"/>
    <d v="2024-11-27T00:00:00"/>
    <x v="0"/>
    <x v="2"/>
    <s v="Phones"/>
    <n v="1774"/>
    <n v="1348.24"/>
    <n v="425.76"/>
    <x v="9"/>
    <x v="0"/>
  </r>
  <r>
    <n v="1275"/>
    <d v="2024-11-28T00:00:00"/>
    <x v="1"/>
    <x v="0"/>
    <s v="Chairs"/>
    <n v="834"/>
    <n v="592.14"/>
    <n v="241.86"/>
    <x v="9"/>
    <x v="0"/>
  </r>
  <r>
    <n v="1276"/>
    <d v="2024-11-29T00:00:00"/>
    <x v="2"/>
    <x v="1"/>
    <s v="Tablet"/>
    <n v="495"/>
    <n v="396"/>
    <n v="99"/>
    <x v="9"/>
    <x v="0"/>
  </r>
  <r>
    <n v="1277"/>
    <d v="2024-11-30T00:00:00"/>
    <x v="3"/>
    <x v="0"/>
    <s v="Desk"/>
    <n v="1587"/>
    <n v="1206.1199999999999"/>
    <n v="380.88000000000011"/>
    <x v="9"/>
    <x v="0"/>
  </r>
  <r>
    <n v="1278"/>
    <d v="2024-12-01T00:00:00"/>
    <x v="0"/>
    <x v="1"/>
    <s v="Cabinet"/>
    <n v="1183"/>
    <n v="804.44"/>
    <n v="378.55999999999995"/>
    <x v="10"/>
    <x v="0"/>
  </r>
  <r>
    <n v="1279"/>
    <d v="2024-12-02T00:00:00"/>
    <x v="1"/>
    <x v="2"/>
    <s v="Notebook"/>
    <n v="1116"/>
    <n v="680.76"/>
    <n v="435.24"/>
    <x v="10"/>
    <x v="0"/>
  </r>
  <r>
    <n v="1280"/>
    <d v="2024-12-03T00:00:00"/>
    <x v="2"/>
    <x v="0"/>
    <s v="Pen"/>
    <n v="1147"/>
    <n v="917.6"/>
    <n v="229.39999999999998"/>
    <x v="10"/>
    <x v="0"/>
  </r>
  <r>
    <n v="1281"/>
    <d v="2024-12-04T00:00:00"/>
    <x v="3"/>
    <x v="1"/>
    <s v="Printer Paper"/>
    <n v="1988"/>
    <n v="1172.92"/>
    <n v="815.07999999999993"/>
    <x v="10"/>
    <x v="0"/>
  </r>
  <r>
    <n v="1282"/>
    <d v="2024-12-05T00:00:00"/>
    <x v="0"/>
    <x v="0"/>
    <s v="Products"/>
    <n v="1267"/>
    <n v="1000.93"/>
    <n v="266.07000000000005"/>
    <x v="10"/>
    <x v="0"/>
  </r>
  <r>
    <n v="1283"/>
    <d v="2024-12-06T00:00:00"/>
    <x v="1"/>
    <x v="1"/>
    <s v="laptops"/>
    <n v="1947"/>
    <n v="1421.31"/>
    <n v="525.69000000000005"/>
    <x v="10"/>
    <x v="0"/>
  </r>
  <r>
    <n v="1284"/>
    <d v="2024-12-07T00:00:00"/>
    <x v="2"/>
    <x v="2"/>
    <s v="Phones"/>
    <n v="1983"/>
    <n v="1169.97"/>
    <n v="813.03"/>
    <x v="10"/>
    <x v="0"/>
  </r>
  <r>
    <n v="1285"/>
    <d v="2024-12-08T00:00:00"/>
    <x v="3"/>
    <x v="0"/>
    <s v="Chairs"/>
    <n v="1654"/>
    <n v="827"/>
    <n v="827"/>
    <x v="10"/>
    <x v="0"/>
  </r>
  <r>
    <n v="1286"/>
    <d v="2024-12-09T00:00:00"/>
    <x v="0"/>
    <x v="1"/>
    <s v="Tablet"/>
    <n v="1390"/>
    <n v="847.9"/>
    <n v="542.1"/>
    <x v="10"/>
    <x v="0"/>
  </r>
  <r>
    <n v="1287"/>
    <d v="2024-12-10T00:00:00"/>
    <x v="1"/>
    <x v="0"/>
    <s v="Desk"/>
    <n v="835"/>
    <n v="501"/>
    <n v="334"/>
    <x v="10"/>
    <x v="0"/>
  </r>
  <r>
    <n v="1288"/>
    <d v="2024-12-11T00:00:00"/>
    <x v="2"/>
    <x v="1"/>
    <s v="Cabinet"/>
    <n v="961"/>
    <n v="672.7"/>
    <n v="288.29999999999995"/>
    <x v="10"/>
    <x v="0"/>
  </r>
  <r>
    <n v="1289"/>
    <d v="2024-12-12T00:00:00"/>
    <x v="3"/>
    <x v="2"/>
    <s v="Notebook"/>
    <n v="453"/>
    <n v="335.22"/>
    <n v="117.77999999999997"/>
    <x v="10"/>
    <x v="0"/>
  </r>
  <r>
    <n v="1290"/>
    <d v="2024-12-13T00:00:00"/>
    <x v="0"/>
    <x v="0"/>
    <s v="Pen"/>
    <n v="1338"/>
    <n v="883.08"/>
    <n v="454.91999999999996"/>
    <x v="10"/>
    <x v="0"/>
  </r>
  <r>
    <n v="1291"/>
    <d v="2024-12-14T00:00:00"/>
    <x v="1"/>
    <x v="1"/>
    <s v="Printer Paper"/>
    <n v="760"/>
    <n v="463.6"/>
    <n v="296.39999999999998"/>
    <x v="10"/>
    <x v="0"/>
  </r>
  <r>
    <n v="1292"/>
    <d v="2024-12-15T00:00:00"/>
    <x v="2"/>
    <x v="0"/>
    <s v="Products"/>
    <n v="378"/>
    <n v="241.92"/>
    <n v="136.08000000000001"/>
    <x v="10"/>
    <x v="0"/>
  </r>
  <r>
    <n v="1293"/>
    <d v="2024-12-16T00:00:00"/>
    <x v="3"/>
    <x v="1"/>
    <s v="laptops"/>
    <n v="1347"/>
    <n v="740.85"/>
    <n v="606.15"/>
    <x v="10"/>
    <x v="0"/>
  </r>
  <r>
    <n v="1294"/>
    <d v="2024-12-17T00:00:00"/>
    <x v="0"/>
    <x v="2"/>
    <s v="Phones"/>
    <n v="1117"/>
    <n v="837.75"/>
    <n v="279.25"/>
    <x v="10"/>
    <x v="0"/>
  </r>
  <r>
    <n v="1295"/>
    <d v="2024-12-18T00:00:00"/>
    <x v="1"/>
    <x v="0"/>
    <s v="Chairs"/>
    <n v="822"/>
    <n v="468.54"/>
    <n v="353.46"/>
    <x v="10"/>
    <x v="0"/>
  </r>
  <r>
    <n v="1296"/>
    <d v="2024-12-19T00:00:00"/>
    <x v="2"/>
    <x v="1"/>
    <s v="Tablet"/>
    <n v="1068"/>
    <n v="576.72"/>
    <n v="491.28"/>
    <x v="10"/>
    <x v="0"/>
  </r>
  <r>
    <n v="1297"/>
    <d v="2024-12-20T00:00:00"/>
    <x v="3"/>
    <x v="0"/>
    <s v="Desk"/>
    <n v="1460"/>
    <n v="773.8"/>
    <n v="686.2"/>
    <x v="10"/>
    <x v="0"/>
  </r>
  <r>
    <n v="1298"/>
    <d v="2024-12-21T00:00:00"/>
    <x v="0"/>
    <x v="1"/>
    <s v="Cabinet"/>
    <n v="1766"/>
    <n v="1147.9000000000001"/>
    <n v="618.09999999999991"/>
    <x v="10"/>
    <x v="0"/>
  </r>
  <r>
    <n v="1299"/>
    <d v="2024-12-22T00:00:00"/>
    <x v="1"/>
    <x v="2"/>
    <s v="Notebook"/>
    <n v="1313"/>
    <n v="787.8"/>
    <n v="525.20000000000005"/>
    <x v="10"/>
    <x v="0"/>
  </r>
  <r>
    <n v="1300"/>
    <d v="2024-12-23T00:00:00"/>
    <x v="2"/>
    <x v="0"/>
    <s v="Pen"/>
    <n v="541"/>
    <n v="384.11"/>
    <n v="156.88999999999999"/>
    <x v="10"/>
    <x v="0"/>
  </r>
  <r>
    <n v="1301"/>
    <d v="2024-12-24T00:00:00"/>
    <x v="3"/>
    <x v="1"/>
    <s v="Printer Paper"/>
    <n v="1762"/>
    <n v="1145.3"/>
    <n v="616.70000000000005"/>
    <x v="10"/>
    <x v="0"/>
  </r>
  <r>
    <n v="1302"/>
    <d v="2024-12-25T00:00:00"/>
    <x v="0"/>
    <x v="0"/>
    <s v="Products"/>
    <n v="1599"/>
    <n v="1007.37"/>
    <n v="591.63"/>
    <x v="10"/>
    <x v="0"/>
  </r>
  <r>
    <n v="1303"/>
    <d v="2024-12-26T00:00:00"/>
    <x v="1"/>
    <x v="1"/>
    <s v="laptops"/>
    <n v="1889"/>
    <n v="1171.18"/>
    <n v="717.81999999999994"/>
    <x v="10"/>
    <x v="0"/>
  </r>
  <r>
    <n v="1304"/>
    <d v="2024-12-27T00:00:00"/>
    <x v="2"/>
    <x v="2"/>
    <s v="Phones"/>
    <n v="1138"/>
    <n v="910.4"/>
    <n v="227.60000000000002"/>
    <x v="10"/>
    <x v="0"/>
  </r>
  <r>
    <n v="1305"/>
    <d v="2024-12-28T00:00:00"/>
    <x v="3"/>
    <x v="0"/>
    <s v="Chairs"/>
    <n v="529"/>
    <n v="349.14"/>
    <n v="179.86"/>
    <x v="10"/>
    <x v="0"/>
  </r>
  <r>
    <n v="1306"/>
    <d v="2024-12-29T00:00:00"/>
    <x v="0"/>
    <x v="1"/>
    <s v="Tablet"/>
    <n v="1162"/>
    <n v="813.4"/>
    <n v="348.6"/>
    <x v="10"/>
    <x v="0"/>
  </r>
  <r>
    <n v="1307"/>
    <d v="2024-12-30T00:00:00"/>
    <x v="1"/>
    <x v="0"/>
    <s v="Desk"/>
    <n v="1193"/>
    <n v="835.1"/>
    <n v="357.9"/>
    <x v="10"/>
    <x v="0"/>
  </r>
  <r>
    <n v="1308"/>
    <d v="2024-12-31T00:00:00"/>
    <x v="2"/>
    <x v="1"/>
    <s v="Cabinet"/>
    <n v="463"/>
    <n v="268.54000000000002"/>
    <n v="194.45999999999998"/>
    <x v="10"/>
    <x v="0"/>
  </r>
  <r>
    <n v="1309"/>
    <d v="2025-01-01T00:00:00"/>
    <x v="3"/>
    <x v="2"/>
    <s v="Notebook"/>
    <n v="707"/>
    <n v="523.17999999999995"/>
    <n v="183.82000000000005"/>
    <x v="0"/>
    <x v="1"/>
  </r>
  <r>
    <n v="1310"/>
    <d v="2025-01-02T00:00:00"/>
    <x v="0"/>
    <x v="0"/>
    <s v="Pen"/>
    <n v="1309"/>
    <n v="733.04"/>
    <n v="575.96"/>
    <x v="0"/>
    <x v="1"/>
  </r>
  <r>
    <n v="1311"/>
    <d v="2025-01-03T00:00:00"/>
    <x v="1"/>
    <x v="1"/>
    <s v="Printer Paper"/>
    <n v="576"/>
    <n v="299.52"/>
    <n v="276.48"/>
    <x v="0"/>
    <x v="1"/>
  </r>
  <r>
    <n v="1312"/>
    <d v="2025-01-04T00:00:00"/>
    <x v="2"/>
    <x v="0"/>
    <s v="Products"/>
    <n v="1198"/>
    <n v="922.46"/>
    <n v="275.53999999999996"/>
    <x v="0"/>
    <x v="1"/>
  </r>
  <r>
    <n v="1313"/>
    <d v="2025-01-05T00:00:00"/>
    <x v="3"/>
    <x v="1"/>
    <s v="laptops"/>
    <n v="983"/>
    <n v="707.76"/>
    <n v="275.24"/>
    <x v="0"/>
    <x v="1"/>
  </r>
  <r>
    <n v="1314"/>
    <d v="2025-01-06T00:00:00"/>
    <x v="0"/>
    <x v="2"/>
    <s v="Phones"/>
    <n v="1618"/>
    <n v="970.8"/>
    <n v="647.20000000000005"/>
    <x v="0"/>
    <x v="1"/>
  </r>
  <r>
    <n v="1315"/>
    <d v="2025-01-07T00:00:00"/>
    <x v="1"/>
    <x v="0"/>
    <s v="Chairs"/>
    <n v="422"/>
    <n v="232.1"/>
    <n v="189.9"/>
    <x v="0"/>
    <x v="1"/>
  </r>
  <r>
    <n v="1316"/>
    <d v="2025-01-08T00:00:00"/>
    <x v="2"/>
    <x v="1"/>
    <s v="Tablet"/>
    <n v="1020"/>
    <n v="765"/>
    <n v="255"/>
    <x v="0"/>
    <x v="1"/>
  </r>
  <r>
    <n v="1317"/>
    <d v="2025-01-09T00:00:00"/>
    <x v="3"/>
    <x v="0"/>
    <s v="Desk"/>
    <n v="1555"/>
    <n v="808.6"/>
    <n v="746.4"/>
    <x v="0"/>
    <x v="1"/>
  </r>
  <r>
    <n v="1318"/>
    <d v="2025-01-10T00:00:00"/>
    <x v="0"/>
    <x v="1"/>
    <s v="Cabinet"/>
    <n v="1400"/>
    <n v="784"/>
    <n v="616"/>
    <x v="0"/>
    <x v="1"/>
  </r>
  <r>
    <n v="1319"/>
    <d v="2025-01-11T00:00:00"/>
    <x v="1"/>
    <x v="2"/>
    <s v="Notebook"/>
    <n v="897"/>
    <n v="547.16999999999996"/>
    <n v="349.83000000000004"/>
    <x v="0"/>
    <x v="1"/>
  </r>
  <r>
    <n v="1320"/>
    <d v="2025-01-12T00:00:00"/>
    <x v="2"/>
    <x v="0"/>
    <s v="Pen"/>
    <n v="1542"/>
    <n v="1033.1400000000001"/>
    <n v="508.8599999999999"/>
    <x v="0"/>
    <x v="1"/>
  </r>
  <r>
    <n v="1321"/>
    <d v="2025-01-13T00:00:00"/>
    <x v="3"/>
    <x v="1"/>
    <s v="Printer Paper"/>
    <n v="835"/>
    <n v="601.20000000000005"/>
    <n v="233.79999999999995"/>
    <x v="0"/>
    <x v="1"/>
  </r>
  <r>
    <n v="1322"/>
    <d v="2025-01-14T00:00:00"/>
    <x v="0"/>
    <x v="0"/>
    <s v="Products"/>
    <n v="1827"/>
    <n v="968.31"/>
    <n v="858.69"/>
    <x v="0"/>
    <x v="1"/>
  </r>
  <r>
    <n v="1323"/>
    <d v="2025-01-15T00:00:00"/>
    <x v="1"/>
    <x v="1"/>
    <s v="laptops"/>
    <n v="439"/>
    <n v="342.42"/>
    <n v="96.579999999999984"/>
    <x v="0"/>
    <x v="1"/>
  </r>
  <r>
    <n v="1324"/>
    <d v="2025-01-16T00:00:00"/>
    <x v="2"/>
    <x v="2"/>
    <s v="Phones"/>
    <n v="1746"/>
    <n v="977.76"/>
    <n v="768.24"/>
    <x v="0"/>
    <x v="1"/>
  </r>
  <r>
    <n v="1325"/>
    <d v="2025-01-17T00:00:00"/>
    <x v="3"/>
    <x v="0"/>
    <s v="Chairs"/>
    <n v="1106"/>
    <n v="807.38"/>
    <n v="298.62"/>
    <x v="0"/>
    <x v="1"/>
  </r>
  <r>
    <n v="1326"/>
    <d v="2025-01-18T00:00:00"/>
    <x v="0"/>
    <x v="1"/>
    <s v="Tablet"/>
    <n v="1522"/>
    <n v="852.32"/>
    <n v="669.68"/>
    <x v="0"/>
    <x v="1"/>
  </r>
  <r>
    <n v="1327"/>
    <d v="2025-01-19T00:00:00"/>
    <x v="1"/>
    <x v="0"/>
    <s v="Desk"/>
    <n v="311"/>
    <n v="167.94"/>
    <n v="143.06"/>
    <x v="0"/>
    <x v="1"/>
  </r>
  <r>
    <n v="1328"/>
    <d v="2025-01-20T00:00:00"/>
    <x v="2"/>
    <x v="1"/>
    <s v="Cabinet"/>
    <n v="1284"/>
    <n v="808.92"/>
    <n v="475.08000000000004"/>
    <x v="0"/>
    <x v="1"/>
  </r>
  <r>
    <n v="1329"/>
    <d v="2025-01-21T00:00:00"/>
    <x v="3"/>
    <x v="2"/>
    <s v="Notebook"/>
    <n v="1625"/>
    <n v="958.75"/>
    <n v="666.25"/>
    <x v="0"/>
    <x v="1"/>
  </r>
  <r>
    <n v="1330"/>
    <d v="2025-01-22T00:00:00"/>
    <x v="0"/>
    <x v="0"/>
    <s v="Pen"/>
    <n v="900"/>
    <n v="504"/>
    <n v="396"/>
    <x v="0"/>
    <x v="1"/>
  </r>
  <r>
    <n v="1331"/>
    <d v="2025-01-23T00:00:00"/>
    <x v="1"/>
    <x v="1"/>
    <s v="Printer Paper"/>
    <n v="466"/>
    <n v="358.82"/>
    <n v="107.18"/>
    <x v="0"/>
    <x v="1"/>
  </r>
  <r>
    <n v="1332"/>
    <d v="2025-01-24T00:00:00"/>
    <x v="2"/>
    <x v="0"/>
    <s v="Products"/>
    <n v="1921"/>
    <n v="998.92"/>
    <n v="922.08"/>
    <x v="0"/>
    <x v="1"/>
  </r>
  <r>
    <n v="1333"/>
    <d v="2025-01-25T00:00:00"/>
    <x v="3"/>
    <x v="1"/>
    <s v="laptops"/>
    <n v="1372"/>
    <n v="795.76"/>
    <n v="576.24"/>
    <x v="0"/>
    <x v="1"/>
  </r>
  <r>
    <n v="1334"/>
    <d v="2025-01-26T00:00:00"/>
    <x v="0"/>
    <x v="2"/>
    <s v="Phones"/>
    <n v="356"/>
    <n v="181.56"/>
    <n v="174.44"/>
    <x v="0"/>
    <x v="1"/>
  </r>
  <r>
    <n v="1335"/>
    <d v="2025-01-27T00:00:00"/>
    <x v="1"/>
    <x v="0"/>
    <s v="Chairs"/>
    <n v="1943"/>
    <n v="1029.79"/>
    <n v="913.21"/>
    <x v="0"/>
    <x v="1"/>
  </r>
  <r>
    <n v="1336"/>
    <d v="2025-01-28T00:00:00"/>
    <x v="2"/>
    <x v="1"/>
    <s v="Tablet"/>
    <n v="1420"/>
    <n v="880.4"/>
    <n v="539.6"/>
    <x v="0"/>
    <x v="1"/>
  </r>
  <r>
    <n v="1337"/>
    <d v="2025-01-29T00:00:00"/>
    <x v="3"/>
    <x v="0"/>
    <s v="Desk"/>
    <n v="801"/>
    <n v="448.56"/>
    <n v="352.44"/>
    <x v="0"/>
    <x v="1"/>
  </r>
  <r>
    <n v="1338"/>
    <d v="2025-01-30T00:00:00"/>
    <x v="0"/>
    <x v="1"/>
    <s v="Cabinet"/>
    <n v="1265"/>
    <n v="784.3"/>
    <n v="480.70000000000005"/>
    <x v="0"/>
    <x v="1"/>
  </r>
  <r>
    <n v="1339"/>
    <d v="2025-01-31T00:00:00"/>
    <x v="1"/>
    <x v="2"/>
    <s v="Notebook"/>
    <n v="1109"/>
    <n v="865.02"/>
    <n v="243.98000000000002"/>
    <x v="0"/>
    <x v="1"/>
  </r>
  <r>
    <n v="1340"/>
    <d v="2025-02-01T00:00:00"/>
    <x v="2"/>
    <x v="0"/>
    <s v="Pen"/>
    <n v="1726"/>
    <n v="1190.94"/>
    <n v="535.05999999999995"/>
    <x v="11"/>
    <x v="1"/>
  </r>
  <r>
    <n v="1341"/>
    <d v="2025-02-02T00:00:00"/>
    <x v="3"/>
    <x v="1"/>
    <s v="Printer Paper"/>
    <n v="777"/>
    <n v="520.59"/>
    <n v="256.40999999999997"/>
    <x v="11"/>
    <x v="1"/>
  </r>
  <r>
    <n v="1342"/>
    <d v="2025-02-03T00:00:00"/>
    <x v="0"/>
    <x v="0"/>
    <s v="Products"/>
    <n v="969"/>
    <n v="629.85"/>
    <n v="339.15"/>
    <x v="11"/>
    <x v="1"/>
  </r>
  <r>
    <n v="1343"/>
    <d v="2025-02-04T00:00:00"/>
    <x v="1"/>
    <x v="1"/>
    <s v="laptops"/>
    <n v="1954"/>
    <n v="1270.0999999999999"/>
    <n v="683.90000000000009"/>
    <x v="11"/>
    <x v="1"/>
  </r>
  <r>
    <n v="1344"/>
    <d v="2025-02-05T00:00:00"/>
    <x v="2"/>
    <x v="2"/>
    <s v="Phones"/>
    <n v="1180"/>
    <n v="672.6"/>
    <n v="507.4"/>
    <x v="11"/>
    <x v="1"/>
  </r>
  <r>
    <n v="1345"/>
    <d v="2025-02-06T00:00:00"/>
    <x v="3"/>
    <x v="0"/>
    <s v="Chairs"/>
    <n v="1909"/>
    <n v="973.59"/>
    <n v="935.41"/>
    <x v="11"/>
    <x v="1"/>
  </r>
  <r>
    <n v="1346"/>
    <d v="2025-02-07T00:00:00"/>
    <x v="0"/>
    <x v="1"/>
    <s v="Tablet"/>
    <n v="1878"/>
    <n v="1032.9000000000001"/>
    <n v="845.09999999999991"/>
    <x v="11"/>
    <x v="1"/>
  </r>
  <r>
    <n v="1347"/>
    <d v="2025-02-08T00:00:00"/>
    <x v="1"/>
    <x v="0"/>
    <s v="Desk"/>
    <n v="1072"/>
    <n v="546.72"/>
    <n v="525.28"/>
    <x v="11"/>
    <x v="1"/>
  </r>
  <r>
    <n v="1348"/>
    <d v="2025-02-09T00:00:00"/>
    <x v="2"/>
    <x v="1"/>
    <s v="Cabinet"/>
    <n v="1663"/>
    <n v="1230.6199999999999"/>
    <n v="432.38000000000011"/>
    <x v="11"/>
    <x v="1"/>
  </r>
  <r>
    <n v="1349"/>
    <d v="2025-02-10T00:00:00"/>
    <x v="3"/>
    <x v="2"/>
    <s v="Notebook"/>
    <n v="701"/>
    <n v="441.63"/>
    <n v="259.37"/>
    <x v="11"/>
    <x v="1"/>
  </r>
  <r>
    <n v="1350"/>
    <d v="2025-02-11T00:00:00"/>
    <x v="0"/>
    <x v="0"/>
    <s v="Pen"/>
    <n v="979"/>
    <n v="528.66"/>
    <n v="450.34000000000003"/>
    <x v="11"/>
    <x v="1"/>
  </r>
  <r>
    <n v="1351"/>
    <d v="2025-02-12T00:00:00"/>
    <x v="1"/>
    <x v="1"/>
    <s v="Printer Paper"/>
    <n v="606"/>
    <n v="436.32"/>
    <n v="169.68"/>
    <x v="11"/>
    <x v="1"/>
  </r>
  <r>
    <n v="1352"/>
    <d v="2025-02-13T00:00:00"/>
    <x v="2"/>
    <x v="0"/>
    <s v="Products"/>
    <n v="1905"/>
    <n v="1409.7"/>
    <n v="495.29999999999995"/>
    <x v="11"/>
    <x v="1"/>
  </r>
  <r>
    <n v="1353"/>
    <d v="2025-02-14T00:00:00"/>
    <x v="3"/>
    <x v="1"/>
    <s v="laptops"/>
    <n v="1327"/>
    <n v="1008.52"/>
    <n v="318.48"/>
    <x v="11"/>
    <x v="1"/>
  </r>
  <r>
    <n v="1354"/>
    <d v="2025-02-15T00:00:00"/>
    <x v="0"/>
    <x v="2"/>
    <s v="Phones"/>
    <n v="436"/>
    <n v="292.12"/>
    <n v="143.88"/>
    <x v="11"/>
    <x v="1"/>
  </r>
  <r>
    <n v="1355"/>
    <d v="2025-02-16T00:00:00"/>
    <x v="1"/>
    <x v="0"/>
    <s v="Chairs"/>
    <n v="1292"/>
    <n v="749.36"/>
    <n v="542.64"/>
    <x v="11"/>
    <x v="1"/>
  </r>
  <r>
    <n v="1356"/>
    <d v="2025-02-17T00:00:00"/>
    <x v="2"/>
    <x v="1"/>
    <s v="Tablet"/>
    <n v="1518"/>
    <n v="834.9"/>
    <n v="683.1"/>
    <x v="11"/>
    <x v="1"/>
  </r>
  <r>
    <n v="1357"/>
    <d v="2025-02-18T00:00:00"/>
    <x v="3"/>
    <x v="0"/>
    <s v="Desk"/>
    <n v="1349"/>
    <n v="782.42"/>
    <n v="566.58000000000004"/>
    <x v="11"/>
    <x v="1"/>
  </r>
  <r>
    <n v="1358"/>
    <d v="2025-02-19T00:00:00"/>
    <x v="0"/>
    <x v="1"/>
    <s v="Cabinet"/>
    <n v="787"/>
    <n v="448.59"/>
    <n v="338.41"/>
    <x v="11"/>
    <x v="1"/>
  </r>
  <r>
    <n v="1359"/>
    <d v="2025-02-20T00:00:00"/>
    <x v="1"/>
    <x v="2"/>
    <s v="Notebook"/>
    <n v="1659"/>
    <n v="879.27"/>
    <n v="779.73"/>
    <x v="11"/>
    <x v="1"/>
  </r>
  <r>
    <n v="1360"/>
    <d v="2025-02-21T00:00:00"/>
    <x v="2"/>
    <x v="0"/>
    <s v="Pen"/>
    <n v="1326"/>
    <n v="954.72"/>
    <n v="371.28"/>
    <x v="11"/>
    <x v="1"/>
  </r>
  <r>
    <n v="1361"/>
    <d v="2025-02-22T00:00:00"/>
    <x v="3"/>
    <x v="1"/>
    <s v="Printer Paper"/>
    <n v="1522"/>
    <n v="1187.1600000000001"/>
    <n v="334.83999999999992"/>
    <x v="11"/>
    <x v="1"/>
  </r>
  <r>
    <n v="1362"/>
    <d v="2025-02-23T00:00:00"/>
    <x v="0"/>
    <x v="0"/>
    <s v="Products"/>
    <n v="1384"/>
    <n v="761.2"/>
    <n v="622.79999999999995"/>
    <x v="11"/>
    <x v="1"/>
  </r>
  <r>
    <n v="1363"/>
    <d v="2025-02-24T00:00:00"/>
    <x v="1"/>
    <x v="1"/>
    <s v="laptops"/>
    <n v="1225"/>
    <n v="698.25"/>
    <n v="526.75"/>
    <x v="11"/>
    <x v="1"/>
  </r>
  <r>
    <n v="1364"/>
    <d v="2025-02-25T00:00:00"/>
    <x v="2"/>
    <x v="2"/>
    <s v="Phones"/>
    <n v="621"/>
    <n v="447.12"/>
    <n v="173.88"/>
    <x v="11"/>
    <x v="1"/>
  </r>
  <r>
    <n v="1365"/>
    <d v="2025-02-26T00:00:00"/>
    <x v="3"/>
    <x v="0"/>
    <s v="Chairs"/>
    <n v="332"/>
    <n v="262.27999999999997"/>
    <n v="69.720000000000027"/>
    <x v="11"/>
    <x v="1"/>
  </r>
  <r>
    <n v="1366"/>
    <d v="2025-02-27T00:00:00"/>
    <x v="0"/>
    <x v="1"/>
    <s v="Tablet"/>
    <n v="1268"/>
    <n v="798.84"/>
    <n v="469.15999999999997"/>
    <x v="11"/>
    <x v="1"/>
  </r>
  <r>
    <n v="1367"/>
    <d v="2025-02-28T00:00:00"/>
    <x v="1"/>
    <x v="0"/>
    <s v="Desk"/>
    <n v="1110"/>
    <n v="876.9"/>
    <n v="233.10000000000002"/>
    <x v="11"/>
    <x v="1"/>
  </r>
  <r>
    <n v="1368"/>
    <d v="2025-03-01T00:00:00"/>
    <x v="2"/>
    <x v="1"/>
    <s v="Cabinet"/>
    <n v="1856"/>
    <n v="1243.52"/>
    <n v="612.48"/>
    <x v="1"/>
    <x v="1"/>
  </r>
  <r>
    <n v="1369"/>
    <d v="2025-03-02T00:00:00"/>
    <x v="3"/>
    <x v="2"/>
    <s v="Notebook"/>
    <n v="1134"/>
    <n v="907.2"/>
    <n v="226.79999999999995"/>
    <x v="1"/>
    <x v="1"/>
  </r>
  <r>
    <n v="1370"/>
    <d v="2025-03-03T00:00:00"/>
    <x v="0"/>
    <x v="0"/>
    <s v="Pen"/>
    <n v="1739"/>
    <n v="1339.03"/>
    <n v="399.97"/>
    <x v="1"/>
    <x v="1"/>
  </r>
  <r>
    <n v="1371"/>
    <d v="2025-03-04T00:00:00"/>
    <x v="1"/>
    <x v="1"/>
    <s v="Printer Paper"/>
    <n v="864"/>
    <n v="656.64"/>
    <n v="207.36"/>
    <x v="1"/>
    <x v="1"/>
  </r>
  <r>
    <n v="1372"/>
    <d v="2025-03-05T00:00:00"/>
    <x v="2"/>
    <x v="0"/>
    <s v="Products"/>
    <n v="1266"/>
    <n v="1000.14"/>
    <n v="265.86"/>
    <x v="1"/>
    <x v="1"/>
  </r>
  <r>
    <n v="1373"/>
    <d v="2025-03-06T00:00:00"/>
    <x v="3"/>
    <x v="1"/>
    <s v="laptops"/>
    <n v="662"/>
    <n v="496.5"/>
    <n v="165.5"/>
    <x v="1"/>
    <x v="1"/>
  </r>
  <r>
    <n v="1374"/>
    <d v="2025-03-07T00:00:00"/>
    <x v="0"/>
    <x v="2"/>
    <s v="Phones"/>
    <n v="1624"/>
    <n v="1169.28"/>
    <n v="454.72"/>
    <x v="1"/>
    <x v="1"/>
  </r>
  <r>
    <n v="1375"/>
    <d v="2025-03-08T00:00:00"/>
    <x v="1"/>
    <x v="0"/>
    <s v="Chairs"/>
    <n v="986"/>
    <n v="522.58000000000004"/>
    <n v="463.41999999999996"/>
    <x v="1"/>
    <x v="1"/>
  </r>
  <r>
    <n v="1376"/>
    <d v="2025-03-09T00:00:00"/>
    <x v="2"/>
    <x v="1"/>
    <s v="Tablet"/>
    <n v="1568"/>
    <n v="1128.96"/>
    <n v="439.03999999999996"/>
    <x v="1"/>
    <x v="1"/>
  </r>
  <r>
    <n v="1377"/>
    <d v="2025-03-10T00:00:00"/>
    <x v="3"/>
    <x v="0"/>
    <s v="Desk"/>
    <n v="554"/>
    <n v="337.94"/>
    <n v="216.06"/>
    <x v="1"/>
    <x v="1"/>
  </r>
  <r>
    <n v="1378"/>
    <d v="2025-03-11T00:00:00"/>
    <x v="0"/>
    <x v="1"/>
    <s v="Cabinet"/>
    <n v="882"/>
    <n v="564.48"/>
    <n v="317.52"/>
    <x v="1"/>
    <x v="1"/>
  </r>
  <r>
    <n v="1379"/>
    <d v="2025-03-12T00:00:00"/>
    <x v="1"/>
    <x v="2"/>
    <s v="Notebook"/>
    <n v="1040"/>
    <n v="717.6"/>
    <n v="322.39999999999998"/>
    <x v="1"/>
    <x v="1"/>
  </r>
  <r>
    <n v="1380"/>
    <d v="2025-03-13T00:00:00"/>
    <x v="2"/>
    <x v="0"/>
    <s v="Pen"/>
    <n v="1272"/>
    <n v="763.2"/>
    <n v="508.79999999999995"/>
    <x v="1"/>
    <x v="1"/>
  </r>
  <r>
    <n v="1381"/>
    <d v="2025-03-14T00:00:00"/>
    <x v="3"/>
    <x v="1"/>
    <s v="Printer Paper"/>
    <n v="1309"/>
    <n v="706.86"/>
    <n v="602.14"/>
    <x v="1"/>
    <x v="1"/>
  </r>
  <r>
    <n v="1382"/>
    <d v="2025-03-15T00:00:00"/>
    <x v="0"/>
    <x v="0"/>
    <s v="Products"/>
    <n v="556"/>
    <n v="344.72"/>
    <n v="211.27999999999997"/>
    <x v="1"/>
    <x v="1"/>
  </r>
  <r>
    <n v="1383"/>
    <d v="2025-03-16T00:00:00"/>
    <x v="1"/>
    <x v="1"/>
    <s v="laptops"/>
    <n v="1357"/>
    <n v="909.19"/>
    <n v="447.80999999999995"/>
    <x v="1"/>
    <x v="1"/>
  </r>
  <r>
    <n v="1384"/>
    <d v="2025-03-17T00:00:00"/>
    <x v="2"/>
    <x v="2"/>
    <s v="Phones"/>
    <n v="1027"/>
    <n v="605.92999999999995"/>
    <n v="421.07000000000005"/>
    <x v="1"/>
    <x v="1"/>
  </r>
  <r>
    <n v="1385"/>
    <d v="2025-03-18T00:00:00"/>
    <x v="3"/>
    <x v="0"/>
    <s v="Chairs"/>
    <n v="1563"/>
    <n v="797.13"/>
    <n v="765.87"/>
    <x v="1"/>
    <x v="1"/>
  </r>
  <r>
    <n v="1386"/>
    <d v="2025-03-19T00:00:00"/>
    <x v="0"/>
    <x v="1"/>
    <s v="Tablet"/>
    <n v="1627"/>
    <n v="1252.79"/>
    <n v="374.21000000000004"/>
    <x v="1"/>
    <x v="1"/>
  </r>
  <r>
    <n v="1387"/>
    <d v="2025-03-20T00:00:00"/>
    <x v="1"/>
    <x v="0"/>
    <s v="Desk"/>
    <n v="1661"/>
    <n v="1245.75"/>
    <n v="415.25"/>
    <x v="1"/>
    <x v="1"/>
  </r>
  <r>
    <n v="1388"/>
    <d v="2025-03-21T00:00:00"/>
    <x v="2"/>
    <x v="1"/>
    <s v="Cabinet"/>
    <n v="955"/>
    <n v="601.65"/>
    <n v="353.35"/>
    <x v="1"/>
    <x v="1"/>
  </r>
  <r>
    <n v="1389"/>
    <d v="2025-03-22T00:00:00"/>
    <x v="3"/>
    <x v="2"/>
    <s v="Notebook"/>
    <n v="560"/>
    <n v="380.8"/>
    <n v="179.2"/>
    <x v="1"/>
    <x v="1"/>
  </r>
  <r>
    <n v="1390"/>
    <d v="2025-03-23T00:00:00"/>
    <x v="0"/>
    <x v="0"/>
    <s v="Pen"/>
    <n v="1945"/>
    <n v="1089.2"/>
    <n v="855.8"/>
    <x v="1"/>
    <x v="1"/>
  </r>
  <r>
    <n v="1391"/>
    <d v="2025-03-24T00:00:00"/>
    <x v="1"/>
    <x v="1"/>
    <s v="Printer Paper"/>
    <n v="918"/>
    <n v="587.52"/>
    <n v="330.48"/>
    <x v="1"/>
    <x v="1"/>
  </r>
  <r>
    <n v="1392"/>
    <d v="2025-03-25T00:00:00"/>
    <x v="2"/>
    <x v="0"/>
    <s v="Products"/>
    <n v="519"/>
    <n v="347.73"/>
    <n v="171.26999999999998"/>
    <x v="1"/>
    <x v="1"/>
  </r>
  <r>
    <n v="1393"/>
    <d v="2025-03-26T00:00:00"/>
    <x v="3"/>
    <x v="1"/>
    <s v="laptops"/>
    <n v="1573"/>
    <n v="786.5"/>
    <n v="786.5"/>
    <x v="1"/>
    <x v="1"/>
  </r>
  <r>
    <n v="1394"/>
    <d v="2025-03-27T00:00:00"/>
    <x v="0"/>
    <x v="2"/>
    <s v="Phones"/>
    <n v="1849"/>
    <n v="1312.79"/>
    <n v="536.21"/>
    <x v="1"/>
    <x v="1"/>
  </r>
  <r>
    <n v="1395"/>
    <d v="2025-03-28T00:00:00"/>
    <x v="1"/>
    <x v="0"/>
    <s v="Chairs"/>
    <n v="1322"/>
    <n v="938.62"/>
    <n v="383.38"/>
    <x v="1"/>
    <x v="1"/>
  </r>
  <r>
    <n v="1396"/>
    <d v="2025-03-29T00:00:00"/>
    <x v="2"/>
    <x v="1"/>
    <s v="Tablet"/>
    <n v="1355"/>
    <n v="772.35"/>
    <n v="582.65"/>
    <x v="1"/>
    <x v="1"/>
  </r>
  <r>
    <n v="1397"/>
    <d v="2025-03-30T00:00:00"/>
    <x v="3"/>
    <x v="0"/>
    <s v="Desk"/>
    <n v="1471"/>
    <n v="764.92"/>
    <n v="706.08"/>
    <x v="1"/>
    <x v="1"/>
  </r>
  <r>
    <n v="1398"/>
    <d v="2025-03-31T00:00:00"/>
    <x v="0"/>
    <x v="1"/>
    <s v="Cabinet"/>
    <n v="1717"/>
    <n v="1373.6"/>
    <n v="343.40000000000009"/>
    <x v="1"/>
    <x v="1"/>
  </r>
  <r>
    <n v="1399"/>
    <d v="2025-04-01T00:00:00"/>
    <x v="1"/>
    <x v="2"/>
    <s v="Notebook"/>
    <n v="678"/>
    <n v="447.48"/>
    <n v="230.51999999999998"/>
    <x v="2"/>
    <x v="1"/>
  </r>
  <r>
    <n v="1400"/>
    <d v="2025-04-02T00:00:00"/>
    <x v="2"/>
    <x v="0"/>
    <s v="Pen"/>
    <n v="1436"/>
    <n v="875.96"/>
    <n v="560.04"/>
    <x v="2"/>
    <x v="1"/>
  </r>
  <r>
    <n v="1401"/>
    <d v="2025-04-03T00:00:00"/>
    <x v="3"/>
    <x v="1"/>
    <s v="Printer Paper"/>
    <n v="749"/>
    <n v="419.44"/>
    <n v="329.56"/>
    <x v="2"/>
    <x v="1"/>
  </r>
  <r>
    <n v="1402"/>
    <d v="2025-04-04T00:00:00"/>
    <x v="0"/>
    <x v="0"/>
    <s v="Products"/>
    <n v="1940"/>
    <n v="1164"/>
    <n v="776"/>
    <x v="2"/>
    <x v="1"/>
  </r>
  <r>
    <n v="1403"/>
    <d v="2025-04-05T00:00:00"/>
    <x v="1"/>
    <x v="1"/>
    <s v="laptops"/>
    <n v="644"/>
    <n v="470.12"/>
    <n v="173.88"/>
    <x v="2"/>
    <x v="1"/>
  </r>
  <r>
    <n v="1404"/>
    <d v="2025-04-06T00:00:00"/>
    <x v="2"/>
    <x v="2"/>
    <s v="Phones"/>
    <n v="724"/>
    <n v="528.52"/>
    <n v="195.48000000000002"/>
    <x v="2"/>
    <x v="1"/>
  </r>
  <r>
    <n v="1405"/>
    <d v="2025-04-07T00:00:00"/>
    <x v="3"/>
    <x v="0"/>
    <s v="Chairs"/>
    <n v="591"/>
    <n v="313.23"/>
    <n v="277.77"/>
    <x v="2"/>
    <x v="1"/>
  </r>
  <r>
    <n v="1406"/>
    <d v="2025-04-08T00:00:00"/>
    <x v="0"/>
    <x v="1"/>
    <s v="Tablet"/>
    <n v="849"/>
    <n v="509.4"/>
    <n v="339.6"/>
    <x v="2"/>
    <x v="1"/>
  </r>
  <r>
    <n v="1407"/>
    <d v="2025-04-09T00:00:00"/>
    <x v="1"/>
    <x v="0"/>
    <s v="Desk"/>
    <n v="1450"/>
    <n v="797.5"/>
    <n v="652.5"/>
    <x v="2"/>
    <x v="1"/>
  </r>
  <r>
    <n v="1408"/>
    <d v="2025-04-10T00:00:00"/>
    <x v="2"/>
    <x v="1"/>
    <s v="Cabinet"/>
    <n v="687"/>
    <n v="446.55"/>
    <n v="240.45"/>
    <x v="2"/>
    <x v="1"/>
  </r>
  <r>
    <n v="1409"/>
    <d v="2025-04-11T00:00:00"/>
    <x v="3"/>
    <x v="2"/>
    <s v="Notebook"/>
    <n v="1033"/>
    <n v="640.46"/>
    <n v="392.53999999999996"/>
    <x v="2"/>
    <x v="1"/>
  </r>
  <r>
    <n v="1410"/>
    <d v="2025-04-12T00:00:00"/>
    <x v="0"/>
    <x v="0"/>
    <s v="Pen"/>
    <n v="1239"/>
    <n v="619.5"/>
    <n v="619.5"/>
    <x v="2"/>
    <x v="1"/>
  </r>
  <r>
    <n v="1411"/>
    <d v="2025-04-13T00:00:00"/>
    <x v="1"/>
    <x v="1"/>
    <s v="Printer Paper"/>
    <n v="1322"/>
    <n v="713.88"/>
    <n v="608.12"/>
    <x v="2"/>
    <x v="1"/>
  </r>
  <r>
    <n v="1412"/>
    <d v="2025-04-14T00:00:00"/>
    <x v="2"/>
    <x v="0"/>
    <s v="Products"/>
    <n v="1579"/>
    <n v="884.24"/>
    <n v="694.76"/>
    <x v="2"/>
    <x v="1"/>
  </r>
  <r>
    <n v="1413"/>
    <d v="2025-04-15T00:00:00"/>
    <x v="3"/>
    <x v="1"/>
    <s v="laptops"/>
    <n v="1734"/>
    <n v="971.04"/>
    <n v="762.96"/>
    <x v="2"/>
    <x v="1"/>
  </r>
  <r>
    <n v="1414"/>
    <d v="2025-04-16T00:00:00"/>
    <x v="0"/>
    <x v="2"/>
    <s v="Phones"/>
    <n v="1962"/>
    <n v="1000.62"/>
    <n v="961.38"/>
    <x v="2"/>
    <x v="1"/>
  </r>
  <r>
    <n v="1415"/>
    <d v="2025-04-17T00:00:00"/>
    <x v="1"/>
    <x v="0"/>
    <s v="Chairs"/>
    <n v="1417"/>
    <n v="1105.26"/>
    <n v="311.74"/>
    <x v="2"/>
    <x v="1"/>
  </r>
  <r>
    <n v="1416"/>
    <d v="2025-04-18T00:00:00"/>
    <x v="2"/>
    <x v="1"/>
    <s v="Tablet"/>
    <n v="445"/>
    <n v="271.45"/>
    <n v="173.55"/>
    <x v="2"/>
    <x v="1"/>
  </r>
  <r>
    <n v="1417"/>
    <d v="2025-04-19T00:00:00"/>
    <x v="3"/>
    <x v="0"/>
    <s v="Desk"/>
    <n v="1475"/>
    <n v="1106.25"/>
    <n v="368.75"/>
    <x v="2"/>
    <x v="1"/>
  </r>
  <r>
    <n v="1418"/>
    <d v="2025-04-20T00:00:00"/>
    <x v="0"/>
    <x v="1"/>
    <s v="Cabinet"/>
    <n v="1815"/>
    <n v="1216.05"/>
    <n v="598.95000000000005"/>
    <x v="2"/>
    <x v="1"/>
  </r>
  <r>
    <n v="1419"/>
    <d v="2025-04-21T00:00:00"/>
    <x v="1"/>
    <x v="2"/>
    <s v="Notebook"/>
    <n v="761"/>
    <n v="433.77"/>
    <n v="327.23"/>
    <x v="2"/>
    <x v="1"/>
  </r>
  <r>
    <n v="1420"/>
    <d v="2025-04-22T00:00:00"/>
    <x v="2"/>
    <x v="0"/>
    <s v="Pen"/>
    <n v="1483"/>
    <n v="993.61"/>
    <n v="489.39"/>
    <x v="2"/>
    <x v="1"/>
  </r>
  <r>
    <n v="1421"/>
    <d v="2025-04-23T00:00:00"/>
    <x v="3"/>
    <x v="1"/>
    <s v="Printer Paper"/>
    <n v="919"/>
    <n v="670.87"/>
    <n v="248.13"/>
    <x v="2"/>
    <x v="1"/>
  </r>
  <r>
    <n v="1422"/>
    <d v="2025-04-24T00:00:00"/>
    <x v="0"/>
    <x v="0"/>
    <s v="Products"/>
    <n v="1973"/>
    <n v="1242.99"/>
    <n v="730.01"/>
    <x v="2"/>
    <x v="1"/>
  </r>
  <r>
    <n v="1423"/>
    <d v="2025-04-25T00:00:00"/>
    <x v="1"/>
    <x v="1"/>
    <s v="laptops"/>
    <n v="1626"/>
    <n v="1056.9000000000001"/>
    <n v="569.09999999999991"/>
    <x v="2"/>
    <x v="1"/>
  </r>
  <r>
    <n v="1424"/>
    <d v="2025-04-26T00:00:00"/>
    <x v="2"/>
    <x v="2"/>
    <s v="Phones"/>
    <n v="1221"/>
    <n v="647.13"/>
    <n v="573.87"/>
    <x v="2"/>
    <x v="1"/>
  </r>
  <r>
    <n v="1425"/>
    <d v="2025-04-27T00:00:00"/>
    <x v="3"/>
    <x v="0"/>
    <s v="Chairs"/>
    <n v="1718"/>
    <n v="1065.1600000000001"/>
    <n v="652.83999999999992"/>
    <x v="2"/>
    <x v="1"/>
  </r>
  <r>
    <n v="1426"/>
    <d v="2025-04-28T00:00:00"/>
    <x v="0"/>
    <x v="1"/>
    <s v="Tablet"/>
    <n v="1202"/>
    <n v="769.28"/>
    <n v="432.72"/>
    <x v="2"/>
    <x v="1"/>
  </r>
  <r>
    <n v="1427"/>
    <d v="2025-04-29T00:00:00"/>
    <x v="1"/>
    <x v="0"/>
    <s v="Desk"/>
    <n v="1708"/>
    <n v="871.08"/>
    <n v="836.92"/>
    <x v="2"/>
    <x v="1"/>
  </r>
  <r>
    <n v="1428"/>
    <d v="2025-04-30T00:00:00"/>
    <x v="2"/>
    <x v="1"/>
    <s v="Cabinet"/>
    <n v="845"/>
    <n v="583.04999999999995"/>
    <n v="261.95000000000005"/>
    <x v="2"/>
    <x v="1"/>
  </r>
  <r>
    <n v="1429"/>
    <d v="2025-05-01T00:00:00"/>
    <x v="3"/>
    <x v="2"/>
    <s v="Notebook"/>
    <n v="896"/>
    <n v="474.88"/>
    <n v="421.12"/>
    <x v="3"/>
    <x v="1"/>
  </r>
  <r>
    <n v="1430"/>
    <d v="2025-05-02T00:00:00"/>
    <x v="0"/>
    <x v="0"/>
    <s v="Pen"/>
    <n v="831"/>
    <n v="531.84"/>
    <n v="299.15999999999997"/>
    <x v="3"/>
    <x v="1"/>
  </r>
  <r>
    <n v="1431"/>
    <d v="2025-05-03T00:00:00"/>
    <x v="1"/>
    <x v="1"/>
    <s v="Printer Paper"/>
    <n v="1468"/>
    <n v="1130.3599999999999"/>
    <n v="337.6400000000001"/>
    <x v="3"/>
    <x v="1"/>
  </r>
  <r>
    <n v="1432"/>
    <d v="2025-05-04T00:00:00"/>
    <x v="2"/>
    <x v="0"/>
    <s v="Products"/>
    <n v="1640"/>
    <n v="820"/>
    <n v="820"/>
    <x v="3"/>
    <x v="1"/>
  </r>
  <r>
    <n v="1433"/>
    <d v="2025-05-05T00:00:00"/>
    <x v="3"/>
    <x v="1"/>
    <s v="laptops"/>
    <n v="1325"/>
    <n v="702.25"/>
    <n v="622.75"/>
    <x v="3"/>
    <x v="1"/>
  </r>
  <r>
    <n v="1434"/>
    <d v="2025-05-06T00:00:00"/>
    <x v="0"/>
    <x v="2"/>
    <s v="Phones"/>
    <n v="804"/>
    <n v="426.12"/>
    <n v="377.88"/>
    <x v="3"/>
    <x v="1"/>
  </r>
  <r>
    <n v="1435"/>
    <d v="2025-05-07T00:00:00"/>
    <x v="1"/>
    <x v="0"/>
    <s v="Chairs"/>
    <n v="1611"/>
    <n v="1272.69"/>
    <n v="338.30999999999995"/>
    <x v="3"/>
    <x v="1"/>
  </r>
  <r>
    <n v="1436"/>
    <d v="2025-05-08T00:00:00"/>
    <x v="2"/>
    <x v="1"/>
    <s v="Tablet"/>
    <n v="525"/>
    <n v="267.75"/>
    <n v="257.25"/>
    <x v="3"/>
    <x v="1"/>
  </r>
  <r>
    <n v="1437"/>
    <d v="2025-05-09T00:00:00"/>
    <x v="3"/>
    <x v="0"/>
    <s v="Desk"/>
    <n v="1344"/>
    <n v="981.12"/>
    <n v="362.88"/>
    <x v="3"/>
    <x v="1"/>
  </r>
  <r>
    <n v="1438"/>
    <d v="2025-05-10T00:00:00"/>
    <x v="0"/>
    <x v="1"/>
    <s v="Cabinet"/>
    <n v="579"/>
    <n v="393.72"/>
    <n v="185.27999999999997"/>
    <x v="3"/>
    <x v="1"/>
  </r>
  <r>
    <n v="1439"/>
    <d v="2025-05-11T00:00:00"/>
    <x v="1"/>
    <x v="2"/>
    <s v="Notebook"/>
    <n v="1150"/>
    <n v="690"/>
    <n v="460"/>
    <x v="3"/>
    <x v="1"/>
  </r>
  <r>
    <n v="1440"/>
    <d v="2025-05-12T00:00:00"/>
    <x v="2"/>
    <x v="0"/>
    <s v="Pen"/>
    <n v="1457"/>
    <n v="961.62"/>
    <n v="495.38"/>
    <x v="3"/>
    <x v="1"/>
  </r>
  <r>
    <n v="1441"/>
    <d v="2025-05-13T00:00:00"/>
    <x v="3"/>
    <x v="1"/>
    <s v="Printer Paper"/>
    <n v="1839"/>
    <n v="1268.9100000000001"/>
    <n v="570.08999999999992"/>
    <x v="3"/>
    <x v="1"/>
  </r>
  <r>
    <n v="1442"/>
    <d v="2025-05-14T00:00:00"/>
    <x v="0"/>
    <x v="0"/>
    <s v="Products"/>
    <n v="505"/>
    <n v="404"/>
    <n v="101"/>
    <x v="3"/>
    <x v="1"/>
  </r>
  <r>
    <n v="1443"/>
    <d v="2025-05-15T00:00:00"/>
    <x v="1"/>
    <x v="1"/>
    <s v="laptops"/>
    <n v="1279"/>
    <n v="729.03"/>
    <n v="549.97"/>
    <x v="3"/>
    <x v="1"/>
  </r>
  <r>
    <n v="1444"/>
    <d v="2025-05-16T00:00:00"/>
    <x v="2"/>
    <x v="2"/>
    <s v="Phones"/>
    <n v="1318"/>
    <n v="724.9"/>
    <n v="593.1"/>
    <x v="3"/>
    <x v="1"/>
  </r>
  <r>
    <n v="1445"/>
    <d v="2025-05-17T00:00:00"/>
    <x v="3"/>
    <x v="0"/>
    <s v="Chairs"/>
    <n v="626"/>
    <n v="331.78"/>
    <n v="294.22000000000003"/>
    <x v="3"/>
    <x v="1"/>
  </r>
  <r>
    <n v="1446"/>
    <d v="2025-05-18T00:00:00"/>
    <x v="0"/>
    <x v="1"/>
    <s v="Tablet"/>
    <n v="562"/>
    <n v="281"/>
    <n v="281"/>
    <x v="3"/>
    <x v="1"/>
  </r>
  <r>
    <n v="1447"/>
    <d v="2025-05-19T00:00:00"/>
    <x v="1"/>
    <x v="0"/>
    <s v="Desk"/>
    <n v="1464"/>
    <n v="1112.6400000000001"/>
    <n v="351.3599999999999"/>
    <x v="3"/>
    <x v="1"/>
  </r>
  <r>
    <n v="1448"/>
    <d v="2025-05-20T00:00:00"/>
    <x v="2"/>
    <x v="1"/>
    <s v="Cabinet"/>
    <n v="592"/>
    <n v="384.8"/>
    <n v="207.2"/>
    <x v="3"/>
    <x v="1"/>
  </r>
  <r>
    <n v="1449"/>
    <d v="2025-05-21T00:00:00"/>
    <x v="3"/>
    <x v="2"/>
    <s v="Notebook"/>
    <n v="1354"/>
    <n v="934.26"/>
    <n v="419.74"/>
    <x v="3"/>
    <x v="1"/>
  </r>
  <r>
    <n v="1450"/>
    <d v="2025-05-22T00:00:00"/>
    <x v="0"/>
    <x v="0"/>
    <s v="Pen"/>
    <n v="1139"/>
    <n v="694.79"/>
    <n v="444.21000000000004"/>
    <x v="3"/>
    <x v="1"/>
  </r>
  <r>
    <n v="1451"/>
    <d v="2025-05-23T00:00:00"/>
    <x v="1"/>
    <x v="1"/>
    <s v="Printer Paper"/>
    <n v="1890"/>
    <n v="1020.6"/>
    <n v="869.4"/>
    <x v="3"/>
    <x v="1"/>
  </r>
  <r>
    <n v="1452"/>
    <d v="2025-05-24T00:00:00"/>
    <x v="2"/>
    <x v="0"/>
    <s v="Products"/>
    <n v="1539"/>
    <n v="1061.9100000000001"/>
    <n v="477.08999999999992"/>
    <x v="3"/>
    <x v="1"/>
  </r>
  <r>
    <n v="1453"/>
    <d v="2025-05-25T00:00:00"/>
    <x v="3"/>
    <x v="1"/>
    <s v="laptops"/>
    <n v="1094"/>
    <n v="820.5"/>
    <n v="273.5"/>
    <x v="3"/>
    <x v="1"/>
  </r>
  <r>
    <n v="1454"/>
    <d v="2025-05-26T00:00:00"/>
    <x v="0"/>
    <x v="2"/>
    <s v="Phones"/>
    <n v="1794"/>
    <n v="1417.26"/>
    <n v="376.74"/>
    <x v="3"/>
    <x v="1"/>
  </r>
  <r>
    <n v="1455"/>
    <d v="2025-05-27T00:00:00"/>
    <x v="1"/>
    <x v="0"/>
    <s v="Chairs"/>
    <n v="1573"/>
    <n v="1116.83"/>
    <n v="456.17000000000007"/>
    <x v="3"/>
    <x v="1"/>
  </r>
  <r>
    <n v="1456"/>
    <d v="2025-05-28T00:00:00"/>
    <x v="2"/>
    <x v="1"/>
    <s v="Tablet"/>
    <n v="1296"/>
    <n v="920.16"/>
    <n v="375.84000000000003"/>
    <x v="3"/>
    <x v="1"/>
  </r>
  <r>
    <n v="1457"/>
    <d v="2025-05-29T00:00:00"/>
    <x v="3"/>
    <x v="0"/>
    <s v="Desk"/>
    <n v="1692"/>
    <n v="1184.4000000000001"/>
    <n v="507.59999999999991"/>
    <x v="3"/>
    <x v="1"/>
  </r>
  <r>
    <n v="1458"/>
    <d v="2025-05-30T00:00:00"/>
    <x v="0"/>
    <x v="1"/>
    <s v="Cabinet"/>
    <n v="1127"/>
    <n v="879.06"/>
    <n v="247.94000000000005"/>
    <x v="3"/>
    <x v="1"/>
  </r>
  <r>
    <n v="1459"/>
    <d v="2025-05-31T00:00:00"/>
    <x v="1"/>
    <x v="2"/>
    <s v="Notebook"/>
    <n v="1160"/>
    <n v="800.4"/>
    <n v="359.6"/>
    <x v="3"/>
    <x v="1"/>
  </r>
  <r>
    <n v="1460"/>
    <d v="2025-06-01T00:00:00"/>
    <x v="2"/>
    <x v="0"/>
    <s v="Pen"/>
    <n v="1946"/>
    <n v="1342.74"/>
    <n v="603.26"/>
    <x v="4"/>
    <x v="1"/>
  </r>
  <r>
    <n v="1461"/>
    <d v="2025-06-02T00:00:00"/>
    <x v="3"/>
    <x v="1"/>
    <s v="Printer Paper"/>
    <n v="1146"/>
    <n v="630.29999999999995"/>
    <n v="515.70000000000005"/>
    <x v="4"/>
    <x v="1"/>
  </r>
  <r>
    <n v="1462"/>
    <d v="2025-06-03T00:00:00"/>
    <x v="0"/>
    <x v="0"/>
    <s v="Products"/>
    <n v="1123"/>
    <n v="875.94"/>
    <n v="247.05999999999995"/>
    <x v="4"/>
    <x v="1"/>
  </r>
  <r>
    <n v="1463"/>
    <d v="2025-06-04T00:00:00"/>
    <x v="1"/>
    <x v="1"/>
    <s v="laptops"/>
    <n v="811"/>
    <n v="551.48"/>
    <n v="259.52"/>
    <x v="4"/>
    <x v="1"/>
  </r>
  <r>
    <n v="1464"/>
    <d v="2025-06-05T00:00:00"/>
    <x v="2"/>
    <x v="2"/>
    <s v="Phones"/>
    <n v="551"/>
    <n v="435.29"/>
    <n v="115.70999999999998"/>
    <x v="4"/>
    <x v="1"/>
  </r>
  <r>
    <n v="1465"/>
    <d v="2025-06-06T00:00:00"/>
    <x v="3"/>
    <x v="0"/>
    <s v="Chairs"/>
    <n v="1551"/>
    <n v="915.09"/>
    <n v="635.91"/>
    <x v="4"/>
    <x v="1"/>
  </r>
  <r>
    <n v="1466"/>
    <d v="2025-06-07T00:00:00"/>
    <x v="0"/>
    <x v="1"/>
    <s v="Tablet"/>
    <n v="877"/>
    <n v="657.75"/>
    <n v="219.25"/>
    <x v="4"/>
    <x v="1"/>
  </r>
  <r>
    <n v="1467"/>
    <d v="2025-06-08T00:00:00"/>
    <x v="1"/>
    <x v="0"/>
    <s v="Desk"/>
    <n v="1702"/>
    <n v="1038.22"/>
    <n v="663.78"/>
    <x v="4"/>
    <x v="1"/>
  </r>
  <r>
    <n v="1468"/>
    <d v="2025-06-09T00:00:00"/>
    <x v="2"/>
    <x v="1"/>
    <s v="Cabinet"/>
    <n v="657"/>
    <n v="525.6"/>
    <n v="131.39999999999998"/>
    <x v="4"/>
    <x v="1"/>
  </r>
  <r>
    <n v="1469"/>
    <d v="2025-06-10T00:00:00"/>
    <x v="3"/>
    <x v="2"/>
    <s v="Notebook"/>
    <n v="1690"/>
    <n v="1284.4000000000001"/>
    <n v="405.59999999999991"/>
    <x v="4"/>
    <x v="1"/>
  </r>
  <r>
    <n v="1470"/>
    <d v="2025-06-11T00:00:00"/>
    <x v="0"/>
    <x v="0"/>
    <s v="Pen"/>
    <n v="1646"/>
    <n v="1135.74"/>
    <n v="510.26"/>
    <x v="4"/>
    <x v="1"/>
  </r>
  <r>
    <n v="1471"/>
    <d v="2025-06-12T00:00:00"/>
    <x v="1"/>
    <x v="1"/>
    <s v="Printer Paper"/>
    <n v="321"/>
    <n v="189.39"/>
    <n v="131.61000000000001"/>
    <x v="4"/>
    <x v="1"/>
  </r>
  <r>
    <n v="1472"/>
    <d v="2025-06-13T00:00:00"/>
    <x v="2"/>
    <x v="0"/>
    <s v="Products"/>
    <n v="1369"/>
    <n v="794.02"/>
    <n v="574.98"/>
    <x v="4"/>
    <x v="1"/>
  </r>
  <r>
    <n v="1473"/>
    <d v="2025-06-14T00:00:00"/>
    <x v="3"/>
    <x v="1"/>
    <s v="laptops"/>
    <n v="1536"/>
    <n v="1029.1199999999999"/>
    <n v="506.88000000000011"/>
    <x v="4"/>
    <x v="1"/>
  </r>
  <r>
    <n v="1474"/>
    <d v="2025-06-15T00:00:00"/>
    <x v="0"/>
    <x v="2"/>
    <s v="Phones"/>
    <n v="945"/>
    <n v="529.20000000000005"/>
    <n v="415.79999999999995"/>
    <x v="4"/>
    <x v="1"/>
  </r>
  <r>
    <n v="1475"/>
    <d v="2025-06-16T00:00:00"/>
    <x v="1"/>
    <x v="0"/>
    <s v="Chairs"/>
    <n v="1672"/>
    <n v="902.88"/>
    <n v="769.12"/>
    <x v="4"/>
    <x v="1"/>
  </r>
  <r>
    <n v="1476"/>
    <d v="2025-06-17T00:00:00"/>
    <x v="2"/>
    <x v="1"/>
    <s v="Tablet"/>
    <n v="1636"/>
    <n v="948.88"/>
    <n v="687.12"/>
    <x v="4"/>
    <x v="1"/>
  </r>
  <r>
    <n v="1477"/>
    <d v="2025-06-18T00:00:00"/>
    <x v="3"/>
    <x v="0"/>
    <s v="Desk"/>
    <n v="1354"/>
    <n v="947.8"/>
    <n v="406.20000000000005"/>
    <x v="4"/>
    <x v="1"/>
  </r>
  <r>
    <n v="1478"/>
    <d v="2025-06-19T00:00:00"/>
    <x v="0"/>
    <x v="1"/>
    <s v="Cabinet"/>
    <n v="1821"/>
    <n v="1074.3900000000001"/>
    <n v="746.6099999999999"/>
    <x v="4"/>
    <x v="1"/>
  </r>
  <r>
    <n v="1479"/>
    <d v="2025-06-20T00:00:00"/>
    <x v="1"/>
    <x v="2"/>
    <s v="Notebook"/>
    <n v="1539"/>
    <n v="1138.8599999999999"/>
    <n v="400.1400000000001"/>
    <x v="4"/>
    <x v="1"/>
  </r>
  <r>
    <n v="1480"/>
    <d v="2025-06-21T00:00:00"/>
    <x v="2"/>
    <x v="0"/>
    <s v="Pen"/>
    <n v="705"/>
    <n v="359.55"/>
    <n v="345.45"/>
    <x v="4"/>
    <x v="1"/>
  </r>
  <r>
    <n v="1481"/>
    <d v="2025-06-22T00:00:00"/>
    <x v="3"/>
    <x v="1"/>
    <s v="Printer Paper"/>
    <n v="694"/>
    <n v="381.7"/>
    <n v="312.3"/>
    <x v="4"/>
    <x v="1"/>
  </r>
  <r>
    <n v="1482"/>
    <d v="2025-06-23T00:00:00"/>
    <x v="0"/>
    <x v="0"/>
    <s v="Products"/>
    <n v="1422"/>
    <n v="924.3"/>
    <n v="497.70000000000005"/>
    <x v="4"/>
    <x v="1"/>
  </r>
  <r>
    <n v="1483"/>
    <d v="2025-06-24T00:00:00"/>
    <x v="1"/>
    <x v="1"/>
    <s v="laptops"/>
    <n v="1510"/>
    <n v="1192.9000000000001"/>
    <n v="317.09999999999991"/>
    <x v="4"/>
    <x v="1"/>
  </r>
  <r>
    <n v="1484"/>
    <d v="2025-06-25T00:00:00"/>
    <x v="2"/>
    <x v="2"/>
    <s v="Phones"/>
    <n v="1360"/>
    <n v="1006.4"/>
    <n v="353.6"/>
    <x v="4"/>
    <x v="1"/>
  </r>
  <r>
    <n v="1485"/>
    <d v="2025-06-26T00:00:00"/>
    <x v="3"/>
    <x v="0"/>
    <s v="Chairs"/>
    <n v="1318"/>
    <n v="869.88"/>
    <n v="448.12"/>
    <x v="4"/>
    <x v="1"/>
  </r>
  <r>
    <n v="1486"/>
    <d v="2025-06-27T00:00:00"/>
    <x v="0"/>
    <x v="1"/>
    <s v="Tablet"/>
    <n v="1039"/>
    <n v="800.03"/>
    <n v="238.97000000000003"/>
    <x v="4"/>
    <x v="1"/>
  </r>
  <r>
    <n v="1487"/>
    <d v="2025-06-28T00:00:00"/>
    <x v="1"/>
    <x v="0"/>
    <s v="Desk"/>
    <n v="1337"/>
    <n v="1042.8599999999999"/>
    <n v="294.1400000000001"/>
    <x v="4"/>
    <x v="1"/>
  </r>
  <r>
    <n v="1488"/>
    <d v="2025-06-29T00:00:00"/>
    <x v="2"/>
    <x v="1"/>
    <s v="Cabinet"/>
    <n v="1537"/>
    <n v="1168.1199999999999"/>
    <n v="368.88000000000011"/>
    <x v="4"/>
    <x v="1"/>
  </r>
  <r>
    <n v="1489"/>
    <d v="2025-06-30T00:00:00"/>
    <x v="3"/>
    <x v="2"/>
    <s v="Notebook"/>
    <n v="1440"/>
    <n v="792"/>
    <n v="648"/>
    <x v="4"/>
    <x v="1"/>
  </r>
  <r>
    <n v="1490"/>
    <d v="2025-07-01T00:00:00"/>
    <x v="0"/>
    <x v="0"/>
    <s v="Pen"/>
    <n v="1291"/>
    <n v="852.06"/>
    <n v="438.94000000000005"/>
    <x v="5"/>
    <x v="1"/>
  </r>
  <r>
    <n v="1491"/>
    <d v="2025-07-02T00:00:00"/>
    <x v="1"/>
    <x v="1"/>
    <s v="Printer Paper"/>
    <n v="1400"/>
    <n v="868"/>
    <n v="532"/>
    <x v="5"/>
    <x v="1"/>
  </r>
  <r>
    <n v="1492"/>
    <d v="2025-07-03T00:00:00"/>
    <x v="2"/>
    <x v="0"/>
    <s v="Products"/>
    <n v="1915"/>
    <n v="1091.55"/>
    <n v="823.45"/>
    <x v="5"/>
    <x v="1"/>
  </r>
  <r>
    <n v="1493"/>
    <d v="2025-07-04T00:00:00"/>
    <x v="3"/>
    <x v="1"/>
    <s v="laptops"/>
    <n v="1404"/>
    <n v="842.4"/>
    <n v="561.6"/>
    <x v="5"/>
    <x v="1"/>
  </r>
  <r>
    <n v="1494"/>
    <d v="2025-07-05T00:00:00"/>
    <x v="0"/>
    <x v="2"/>
    <s v="Phones"/>
    <n v="378"/>
    <n v="253.26"/>
    <n v="124.74000000000001"/>
    <x v="5"/>
    <x v="1"/>
  </r>
  <r>
    <n v="1495"/>
    <d v="2025-07-06T00:00:00"/>
    <x v="1"/>
    <x v="0"/>
    <s v="Chairs"/>
    <n v="1976"/>
    <n v="1561.04"/>
    <n v="414.96000000000004"/>
    <x v="5"/>
    <x v="1"/>
  </r>
  <r>
    <n v="1496"/>
    <d v="2025-07-07T00:00:00"/>
    <x v="2"/>
    <x v="1"/>
    <s v="Tablet"/>
    <n v="742"/>
    <n v="378.42"/>
    <n v="363.58"/>
    <x v="5"/>
    <x v="1"/>
  </r>
  <r>
    <n v="1497"/>
    <d v="2025-07-08T00:00:00"/>
    <x v="3"/>
    <x v="0"/>
    <s v="Desk"/>
    <n v="1430"/>
    <n v="743.6"/>
    <n v="686.4"/>
    <x v="5"/>
    <x v="1"/>
  </r>
  <r>
    <n v="1498"/>
    <d v="2025-07-09T00:00:00"/>
    <x v="0"/>
    <x v="1"/>
    <s v="Cabinet"/>
    <n v="1377"/>
    <n v="826.2"/>
    <n v="550.79999999999995"/>
    <x v="5"/>
    <x v="1"/>
  </r>
  <r>
    <n v="1499"/>
    <d v="2025-07-10T00:00:00"/>
    <x v="1"/>
    <x v="2"/>
    <s v="Notebook"/>
    <n v="1441"/>
    <n v="1008.7"/>
    <n v="432.29999999999995"/>
    <x v="5"/>
    <x v="1"/>
  </r>
  <r>
    <n v="1500"/>
    <d v="2025-07-11T00:00:00"/>
    <x v="2"/>
    <x v="0"/>
    <s v="Pen"/>
    <n v="1052"/>
    <n v="810.04"/>
    <n v="241.96000000000004"/>
    <x v="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56888C-00E3-4836-AA94-8D3828CA54FE}"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 firstHeaderRow="1" firstDataRow="1" firstDataCol="1"/>
  <pivotFields count="10">
    <pivotField showAll="0"/>
    <pivotField numFmtId="14" showAll="0"/>
    <pivotField axis="axisRow" showAll="0">
      <items count="5">
        <item x="2"/>
        <item h="1" x="0"/>
        <item h="1" x="3"/>
        <item h="1" x="1"/>
        <item t="default"/>
      </items>
    </pivotField>
    <pivotField showAll="0">
      <items count="4">
        <item x="0"/>
        <item h="1" x="2"/>
        <item h="1" x="1"/>
        <item t="default"/>
      </items>
    </pivotField>
    <pivotField showAll="0"/>
    <pivotField dataField="1" showAll="0"/>
    <pivotField showAll="0"/>
    <pivotField showAll="0"/>
    <pivotField showAll="0"/>
    <pivotField showAll="0">
      <items count="3">
        <item h="1" x="0"/>
        <item x="1"/>
        <item t="default"/>
      </items>
    </pivotField>
  </pivotFields>
  <rowFields count="1">
    <field x="2"/>
  </rowFields>
  <rowItems count="2">
    <i>
      <x/>
    </i>
    <i t="grand">
      <x/>
    </i>
  </rowItems>
  <colItems count="1">
    <i/>
  </colItems>
  <dataFields count="1">
    <dataField name="Sum of Revenue" fld="5"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9EEF6B-7528-42C2-B848-7DE90DCF3D6E}"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5" firstHeaderRow="1" firstDataRow="1" firstDataCol="1"/>
  <pivotFields count="10">
    <pivotField showAll="0"/>
    <pivotField numFmtId="14" showAll="0"/>
    <pivotField showAll="0">
      <items count="5">
        <item x="2"/>
        <item h="1" x="0"/>
        <item h="1" x="3"/>
        <item h="1" x="1"/>
        <item t="default"/>
      </items>
    </pivotField>
    <pivotField axis="axisRow" showAll="0">
      <items count="4">
        <item x="0"/>
        <item h="1" x="2"/>
        <item h="1" x="1"/>
        <item t="default"/>
      </items>
    </pivotField>
    <pivotField showAll="0"/>
    <pivotField dataField="1" showAll="0"/>
    <pivotField showAll="0"/>
    <pivotField showAll="0"/>
    <pivotField showAll="0"/>
    <pivotField showAll="0"/>
  </pivotFields>
  <rowFields count="1">
    <field x="3"/>
  </rowFields>
  <rowItems count="2">
    <i>
      <x/>
    </i>
    <i t="grand">
      <x/>
    </i>
  </rowItems>
  <colItems count="1">
    <i/>
  </colItems>
  <dataFields count="1">
    <dataField name="Sum of Revenue" fld="5"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79D998-1826-4CBD-BDE5-60E4116D926D}"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10">
    <pivotField showAll="0"/>
    <pivotField numFmtId="14" showAll="0"/>
    <pivotField axis="axisRow" showAll="0">
      <items count="5">
        <item x="2"/>
        <item h="1" x="0"/>
        <item h="1" x="3"/>
        <item h="1" x="1"/>
        <item t="default"/>
      </items>
    </pivotField>
    <pivotField showAll="0">
      <items count="4">
        <item x="0"/>
        <item h="1" x="2"/>
        <item h="1" x="1"/>
        <item t="default"/>
      </items>
    </pivotField>
    <pivotField showAll="0"/>
    <pivotField showAll="0"/>
    <pivotField showAll="0"/>
    <pivotField dataField="1" showAll="0"/>
    <pivotField showAll="0"/>
    <pivotField showAll="0"/>
  </pivotFields>
  <rowFields count="1">
    <field x="2"/>
  </rowFields>
  <rowItems count="2">
    <i>
      <x/>
    </i>
    <i t="grand">
      <x/>
    </i>
  </rowItems>
  <colItems count="1">
    <i/>
  </colItems>
  <dataFields count="1">
    <dataField name="Sum of Profi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0BB6FB-0B5D-44E4-9F94-B5AFF2FAEF5A}" name="PivotTable5"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10">
    <pivotField showAll="0"/>
    <pivotField numFmtId="14" showAll="0"/>
    <pivotField showAll="0">
      <items count="5">
        <item x="2"/>
        <item h="1" x="0"/>
        <item h="1" x="3"/>
        <item h="1" x="1"/>
        <item t="default"/>
      </items>
    </pivotField>
    <pivotField showAll="0">
      <items count="4">
        <item x="0"/>
        <item h="1" x="2"/>
        <item h="1" x="1"/>
        <item t="default"/>
      </items>
    </pivotField>
    <pivotField showAll="0"/>
    <pivotField dataField="1" showAll="0"/>
    <pivotField showAll="0"/>
    <pivotField showAll="0"/>
    <pivotField axis="axisRow" showAll="0">
      <items count="13">
        <item x="0"/>
        <item x="11"/>
        <item x="1"/>
        <item x="2"/>
        <item x="3"/>
        <item x="4"/>
        <item x="5"/>
        <item x="6"/>
        <item x="7"/>
        <item x="8"/>
        <item x="9"/>
        <item x="10"/>
        <item t="default"/>
      </items>
    </pivotField>
    <pivotField showAll="0"/>
  </pivotFields>
  <rowFields count="1">
    <field x="8"/>
  </rowFields>
  <rowItems count="13">
    <i>
      <x/>
    </i>
    <i>
      <x v="1"/>
    </i>
    <i>
      <x v="2"/>
    </i>
    <i>
      <x v="3"/>
    </i>
    <i>
      <x v="4"/>
    </i>
    <i>
      <x v="5"/>
    </i>
    <i>
      <x v="6"/>
    </i>
    <i>
      <x v="7"/>
    </i>
    <i>
      <x v="8"/>
    </i>
    <i>
      <x v="9"/>
    </i>
    <i>
      <x v="10"/>
    </i>
    <i>
      <x v="11"/>
    </i>
    <i t="grand">
      <x/>
    </i>
  </rowItems>
  <colItems count="1">
    <i/>
  </colItems>
  <dataFields count="1">
    <dataField name="Sum of Revenue" fld="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141E93D-9D67-469D-998D-E5629475450E}" name="PivotTable6"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10">
    <pivotField showAll="0"/>
    <pivotField numFmtId="14" showAll="0"/>
    <pivotField axis="axisRow" showAll="0">
      <items count="5">
        <item x="2"/>
        <item h="1" x="0"/>
        <item h="1" x="3"/>
        <item h="1" x="1"/>
        <item t="default"/>
      </items>
    </pivotField>
    <pivotField showAll="0"/>
    <pivotField showAll="0"/>
    <pivotField showAll="0"/>
    <pivotField showAll="0"/>
    <pivotField dataField="1" showAll="0"/>
    <pivotField showAll="0"/>
    <pivotField showAll="0"/>
  </pivotFields>
  <rowFields count="1">
    <field x="2"/>
  </rowFields>
  <rowItems count="2">
    <i>
      <x/>
    </i>
    <i t="grand">
      <x/>
    </i>
  </rowItems>
  <colItems count="1">
    <i/>
  </colItems>
  <dataFields count="1">
    <dataField name="Sum of Profit" fld="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62319B-EDEA-47AE-AADC-6EBCA093E5F4}" name="PivotTable7"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10">
    <pivotField showAll="0"/>
    <pivotField numFmtId="14" showAll="0"/>
    <pivotField showAll="0">
      <items count="5">
        <item x="2"/>
        <item h="1" x="0"/>
        <item h="1" x="3"/>
        <item h="1" x="1"/>
        <item t="default"/>
      </items>
    </pivotField>
    <pivotField showAll="0">
      <items count="4">
        <item x="0"/>
        <item h="1" x="2"/>
        <item h="1" x="1"/>
        <item t="default"/>
      </items>
    </pivotField>
    <pivotField showAll="0"/>
    <pivotField dataField="1" showAll="0"/>
    <pivotField showAll="0"/>
    <pivotField dataField="1" showAll="0"/>
    <pivotField showAll="0"/>
    <pivotField showAll="0">
      <items count="3">
        <item h="1" x="0"/>
        <item x="1"/>
        <item t="default"/>
      </items>
    </pivotField>
  </pivotFields>
  <rowItems count="1">
    <i/>
  </rowItems>
  <colFields count="1">
    <field x="-2"/>
  </colFields>
  <colItems count="2">
    <i>
      <x/>
    </i>
    <i i="1">
      <x v="1"/>
    </i>
  </colItems>
  <dataFields count="2">
    <dataField name="Sum of Profit" fld="7" baseField="0" baseItem="0"/>
    <dataField name="Sum of Revenu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0FF57F6-11C4-407D-9EEA-7B5168FECCDC}" sourceName="Region">
  <pivotTables>
    <pivotTable tabId="2" name="PivotTable1"/>
    <pivotTable tabId="4" name="PivotTable3"/>
    <pivotTable tabId="8" name="PivotTable6"/>
    <pivotTable tabId="3" name="PivotTable2"/>
    <pivotTable tabId="6" name="PivotTable5"/>
    <pivotTable tabId="9" name="PivotTable7"/>
  </pivotTables>
  <data>
    <tabular pivotCacheId="460071577">
      <items count="4">
        <i x="2" s="1"/>
        <i x="0"/>
        <i x="3"/>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66E3535-C3D1-4E65-8ADF-498E10C6362F}" sourceName="Category">
  <pivotTables>
    <pivotTable tabId="2" name="PivotTable1"/>
    <pivotTable tabId="3" name="PivotTable2"/>
    <pivotTable tabId="6" name="PivotTable5"/>
    <pivotTable tabId="4" name="PivotTable3"/>
    <pivotTable tabId="9" name="PivotTable7"/>
  </pivotTables>
  <data>
    <tabular pivotCacheId="460071577">
      <items count="3">
        <i x="0" s="1"/>
        <i x="2"/>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96D545C-25CA-4A74-B39C-4E7B6A50FA90}" sourceName="Year">
  <pivotTables>
    <pivotTable tabId="2" name="PivotTable1"/>
    <pivotTable tabId="9" name="PivotTable7"/>
  </pivotTables>
  <data>
    <tabular pivotCacheId="460071577">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19BF75E-E440-4180-9137-07488CD3EA73}" cache="Slicer_Region" caption="Region" rowHeight="257175"/>
  <slicer name="Category" xr10:uid="{74568BFF-4FFA-45AA-B4CC-7890DBF1A7AC}" cache="Slicer_Category" caption="Category" rowHeight="257175"/>
  <slicer name="Year" xr10:uid="{8A2220C9-49C7-4D6D-A73D-AEDC8E609B55}" cache="Slicer_Year" caption="Year"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9CA435-77A4-4027-889F-C6EFA2ECCD90}" name="SalesData" displayName="SalesData" ref="A1:J500" totalsRowShown="0">
  <autoFilter ref="A1:J500" xr:uid="{A69CA435-77A4-4027-889F-C6EFA2ECCD90}"/>
  <tableColumns count="10">
    <tableColumn id="1" xr3:uid="{C34B19C6-16D8-4432-B77A-4CB5619AAD02}" name=" "/>
    <tableColumn id="2" xr3:uid="{5F91ADE2-0CE3-4717-9D72-412A08A861EF}" name="Date" dataDxfId="2"/>
    <tableColumn id="3" xr3:uid="{62864191-EE8D-4C5F-889E-AAAA9EFF2A99}" name="Region"/>
    <tableColumn id="4" xr3:uid="{D6BB9C0D-16A5-4787-B3A0-0C7965E0619D}" name="Category"/>
    <tableColumn id="5" xr3:uid="{B8976EE5-D018-44A0-9F47-85B2FAB5CB33}" name="Product"/>
    <tableColumn id="6" xr3:uid="{84A77B80-D4BC-490F-B2DB-2EEE15FEAF14}" name="Revenue">
      <calculatedColumnFormula>RANDBETWEEN(300,2000)</calculatedColumnFormula>
    </tableColumn>
    <tableColumn id="7" xr3:uid="{8E11DAFB-F5A1-4603-92F8-2D9D65D12EBE}" name="Cost">
      <calculatedColumnFormula>F2*RANDBETWEEN(50,80)/100</calculatedColumnFormula>
    </tableColumn>
    <tableColumn id="8" xr3:uid="{2CE142A2-718E-46FA-B20A-C99EBEDAE144}" name="Profit">
      <calculatedColumnFormula>F2-G2</calculatedColumnFormula>
    </tableColumn>
    <tableColumn id="9" xr3:uid="{F3000DEE-2D71-4EC6-8D38-746A667C2517}" name="Month" dataDxfId="1">
      <calculatedColumnFormula>TEXT(B2,"mmm")</calculatedColumnFormula>
    </tableColumn>
    <tableColumn id="10" xr3:uid="{99B8FF5A-8046-4F00-9559-8FD25C14B180}" name="Year" dataDxfId="0">
      <calculatedColumnFormula>YEAR(SalesData[[#This Row],[Date]])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F56DC-D997-4891-A5E2-9B1B1259BD11}">
  <dimension ref="A3:B5"/>
  <sheetViews>
    <sheetView workbookViewId="0">
      <selection activeCell="M8" sqref="M8"/>
    </sheetView>
  </sheetViews>
  <sheetFormatPr defaultRowHeight="15" x14ac:dyDescent="0.25"/>
  <cols>
    <col min="1" max="1" width="13.42578125" bestFit="1" customWidth="1"/>
    <col min="2" max="2" width="15.85546875" bestFit="1" customWidth="1"/>
  </cols>
  <sheetData>
    <row r="3" spans="1:2" x14ac:dyDescent="0.25">
      <c r="A3" s="2" t="s">
        <v>26</v>
      </c>
      <c r="B3" t="s">
        <v>28</v>
      </c>
    </row>
    <row r="4" spans="1:2" x14ac:dyDescent="0.25">
      <c r="A4" s="3" t="s">
        <v>10</v>
      </c>
      <c r="B4" s="4">
        <v>28796</v>
      </c>
    </row>
    <row r="5" spans="1:2" x14ac:dyDescent="0.25">
      <c r="A5" s="3" t="s">
        <v>27</v>
      </c>
      <c r="B5" s="4">
        <v>28796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1D074-D41C-4E64-BC8B-E80FD3F3AB08}">
  <dimension ref="A3:B5"/>
  <sheetViews>
    <sheetView workbookViewId="0">
      <selection activeCell="C12" sqref="C12"/>
    </sheetView>
  </sheetViews>
  <sheetFormatPr defaultRowHeight="15" x14ac:dyDescent="0.25"/>
  <cols>
    <col min="1" max="1" width="13.42578125" bestFit="1" customWidth="1"/>
    <col min="2" max="2" width="15.85546875" bestFit="1" customWidth="1"/>
  </cols>
  <sheetData>
    <row r="3" spans="1:2" x14ac:dyDescent="0.25">
      <c r="A3" s="2" t="s">
        <v>26</v>
      </c>
      <c r="B3" t="s">
        <v>28</v>
      </c>
    </row>
    <row r="4" spans="1:2" x14ac:dyDescent="0.25">
      <c r="A4" s="3" t="s">
        <v>12</v>
      </c>
      <c r="B4" s="4">
        <v>62880</v>
      </c>
    </row>
    <row r="5" spans="1:2" x14ac:dyDescent="0.25">
      <c r="A5" s="3" t="s">
        <v>27</v>
      </c>
      <c r="B5" s="4">
        <v>62880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8381C-E707-4495-B7F9-DD2F0930DACF}">
  <dimension ref="A3:B5"/>
  <sheetViews>
    <sheetView workbookViewId="0">
      <selection activeCell="D7" sqref="D7"/>
    </sheetView>
  </sheetViews>
  <sheetFormatPr defaultRowHeight="15" x14ac:dyDescent="0.25"/>
  <cols>
    <col min="1" max="1" width="13.42578125" bestFit="1" customWidth="1"/>
    <col min="2" max="2" width="12.7109375" bestFit="1" customWidth="1"/>
  </cols>
  <sheetData>
    <row r="3" spans="1:2" x14ac:dyDescent="0.25">
      <c r="A3" s="2" t="s">
        <v>26</v>
      </c>
      <c r="B3" t="s">
        <v>29</v>
      </c>
    </row>
    <row r="4" spans="1:2" x14ac:dyDescent="0.25">
      <c r="A4" s="3" t="s">
        <v>10</v>
      </c>
      <c r="B4" s="4">
        <v>21763.130000000008</v>
      </c>
    </row>
    <row r="5" spans="1:2" x14ac:dyDescent="0.25">
      <c r="A5" s="3" t="s">
        <v>27</v>
      </c>
      <c r="B5" s="4">
        <v>21763.130000000008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1031F-A2FC-4783-988E-E7EFAA33EF8A}">
  <dimension ref="A3:B16"/>
  <sheetViews>
    <sheetView zoomScale="85" zoomScaleNormal="85" workbookViewId="0">
      <selection activeCell="A3" sqref="A3"/>
    </sheetView>
  </sheetViews>
  <sheetFormatPr defaultRowHeight="15" x14ac:dyDescent="0.25"/>
  <cols>
    <col min="1" max="1" width="13.42578125" bestFit="1" customWidth="1"/>
    <col min="2" max="2" width="15.85546875" bestFit="1" customWidth="1"/>
  </cols>
  <sheetData>
    <row r="3" spans="1:2" x14ac:dyDescent="0.25">
      <c r="A3" s="2" t="s">
        <v>26</v>
      </c>
      <c r="B3" t="s">
        <v>28</v>
      </c>
    </row>
    <row r="4" spans="1:2" x14ac:dyDescent="0.25">
      <c r="A4" s="3" t="s">
        <v>33</v>
      </c>
      <c r="B4" s="4">
        <v>4661</v>
      </c>
    </row>
    <row r="5" spans="1:2" x14ac:dyDescent="0.25">
      <c r="A5" s="3" t="s">
        <v>34</v>
      </c>
      <c r="B5" s="4">
        <v>4957</v>
      </c>
    </row>
    <row r="6" spans="1:2" x14ac:dyDescent="0.25">
      <c r="A6" s="3" t="s">
        <v>35</v>
      </c>
      <c r="B6" s="4">
        <v>8319</v>
      </c>
    </row>
    <row r="7" spans="1:2" x14ac:dyDescent="0.25">
      <c r="A7" s="3" t="s">
        <v>36</v>
      </c>
      <c r="B7" s="4">
        <v>7127</v>
      </c>
    </row>
    <row r="8" spans="1:2" x14ac:dyDescent="0.25">
      <c r="A8" s="3" t="s">
        <v>37</v>
      </c>
      <c r="B8" s="4">
        <v>7627</v>
      </c>
    </row>
    <row r="9" spans="1:2" x14ac:dyDescent="0.25">
      <c r="A9" s="3" t="s">
        <v>38</v>
      </c>
      <c r="B9" s="4">
        <v>6893</v>
      </c>
    </row>
    <row r="10" spans="1:2" x14ac:dyDescent="0.25">
      <c r="A10" s="3" t="s">
        <v>39</v>
      </c>
      <c r="B10" s="4">
        <v>6808</v>
      </c>
    </row>
    <row r="11" spans="1:2" x14ac:dyDescent="0.25">
      <c r="A11" s="3" t="s">
        <v>40</v>
      </c>
      <c r="B11" s="4">
        <v>3383</v>
      </c>
    </row>
    <row r="12" spans="1:2" x14ac:dyDescent="0.25">
      <c r="A12" s="3" t="s">
        <v>41</v>
      </c>
      <c r="B12" s="4">
        <v>3325</v>
      </c>
    </row>
    <row r="13" spans="1:2" x14ac:dyDescent="0.25">
      <c r="A13" s="3" t="s">
        <v>42</v>
      </c>
      <c r="B13" s="4">
        <v>2748</v>
      </c>
    </row>
    <row r="14" spans="1:2" x14ac:dyDescent="0.25">
      <c r="A14" s="3" t="s">
        <v>43</v>
      </c>
      <c r="B14" s="4">
        <v>4966</v>
      </c>
    </row>
    <row r="15" spans="1:2" x14ac:dyDescent="0.25">
      <c r="A15" s="3" t="s">
        <v>44</v>
      </c>
      <c r="B15" s="4">
        <v>2066</v>
      </c>
    </row>
    <row r="16" spans="1:2" x14ac:dyDescent="0.25">
      <c r="A16" s="3" t="s">
        <v>27</v>
      </c>
      <c r="B16" s="4">
        <v>62880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0A11D-2F6D-491B-881B-D47CE4E30D34}">
  <dimension ref="A3:B5"/>
  <sheetViews>
    <sheetView topLeftCell="F1" workbookViewId="0">
      <selection activeCell="B6" sqref="B6"/>
    </sheetView>
  </sheetViews>
  <sheetFormatPr defaultRowHeight="15" x14ac:dyDescent="0.25"/>
  <cols>
    <col min="1" max="1" width="13.42578125" bestFit="1" customWidth="1"/>
    <col min="2" max="2" width="12.7109375" bestFit="1" customWidth="1"/>
  </cols>
  <sheetData>
    <row r="3" spans="1:2" x14ac:dyDescent="0.25">
      <c r="A3" s="2" t="s">
        <v>26</v>
      </c>
      <c r="B3" t="s">
        <v>29</v>
      </c>
    </row>
    <row r="4" spans="1:2" x14ac:dyDescent="0.25">
      <c r="A4" s="3" t="s">
        <v>10</v>
      </c>
      <c r="B4" s="4">
        <v>50618.329999999994</v>
      </c>
    </row>
    <row r="5" spans="1:2" x14ac:dyDescent="0.25">
      <c r="A5" s="3" t="s">
        <v>27</v>
      </c>
      <c r="B5" s="4">
        <v>50618.329999999994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ACD3E-8EA3-438A-841B-BD0E4912FDA4}">
  <dimension ref="A3:B4"/>
  <sheetViews>
    <sheetView workbookViewId="0">
      <selection activeCell="A3" sqref="A3"/>
    </sheetView>
  </sheetViews>
  <sheetFormatPr defaultRowHeight="15" x14ac:dyDescent="0.25"/>
  <cols>
    <col min="1" max="1" width="12.7109375" bestFit="1" customWidth="1"/>
    <col min="2" max="2" width="15.85546875" bestFit="1" customWidth="1"/>
  </cols>
  <sheetData>
    <row r="3" spans="1:2" x14ac:dyDescent="0.25">
      <c r="A3" t="s">
        <v>29</v>
      </c>
      <c r="B3" t="s">
        <v>28</v>
      </c>
    </row>
    <row r="4" spans="1:2" x14ac:dyDescent="0.25">
      <c r="A4" s="4">
        <v>10179.810000000001</v>
      </c>
      <c r="B4" s="4">
        <v>28796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8822C-3531-493E-9CE5-3DF55FF3F4C9}">
  <dimension ref="A1:N500"/>
  <sheetViews>
    <sheetView topLeftCell="D1" workbookViewId="0">
      <selection activeCell="H4" sqref="H4"/>
    </sheetView>
  </sheetViews>
  <sheetFormatPr defaultRowHeight="15" x14ac:dyDescent="0.25"/>
  <cols>
    <col min="1" max="1" width="10.7109375" customWidth="1"/>
    <col min="2" max="2" width="14.7109375" customWidth="1"/>
    <col min="3" max="3" width="13.140625" customWidth="1"/>
    <col min="4" max="4" width="17.140625" customWidth="1"/>
    <col min="5" max="5" width="17.85546875" customWidth="1"/>
    <col min="6" max="6" width="11.140625" customWidth="1"/>
    <col min="10" max="10" width="14.140625" customWidth="1"/>
    <col min="11" max="11" width="14.5703125" customWidth="1"/>
    <col min="12" max="12" width="12.42578125" bestFit="1" customWidth="1"/>
    <col min="13" max="13" width="12.7109375" customWidth="1"/>
    <col min="14" max="14" width="9.140625" customWidth="1"/>
  </cols>
  <sheetData>
    <row r="1" spans="1:14" ht="18" customHeight="1" x14ac:dyDescent="0.25">
      <c r="A1" t="s">
        <v>25</v>
      </c>
      <c r="B1" t="s">
        <v>0</v>
      </c>
      <c r="C1" t="s">
        <v>1</v>
      </c>
      <c r="D1" t="s">
        <v>2</v>
      </c>
      <c r="E1" t="s">
        <v>3</v>
      </c>
      <c r="F1" t="s">
        <v>4</v>
      </c>
      <c r="G1" t="s">
        <v>5</v>
      </c>
      <c r="H1" t="s">
        <v>6</v>
      </c>
      <c r="I1" t="s">
        <v>30</v>
      </c>
      <c r="J1" t="s">
        <v>32</v>
      </c>
      <c r="L1" t="s">
        <v>14</v>
      </c>
      <c r="M1" t="s">
        <v>31</v>
      </c>
      <c r="N1" t="s">
        <v>11</v>
      </c>
    </row>
    <row r="2" spans="1:14" x14ac:dyDescent="0.25">
      <c r="A2">
        <v>1001</v>
      </c>
      <c r="B2" s="1">
        <v>45292</v>
      </c>
      <c r="C2" t="s">
        <v>7</v>
      </c>
      <c r="D2" t="s">
        <v>12</v>
      </c>
      <c r="E2" t="s">
        <v>14</v>
      </c>
      <c r="F2">
        <f ca="1">RANDBETWEEN(300,2000)</f>
        <v>646</v>
      </c>
      <c r="G2">
        <f ca="1">F2*RANDBETWEEN(50,80)/100</f>
        <v>342.38</v>
      </c>
      <c r="H2">
        <f ca="1">F2-G2</f>
        <v>303.62</v>
      </c>
      <c r="I2" t="str">
        <f t="shared" ref="I2:I65" si="0">TEXT(B2,"mmm")</f>
        <v>Jan</v>
      </c>
      <c r="J2">
        <f>YEAR(SalesData[[#This Row],[Date]])</f>
        <v>2024</v>
      </c>
      <c r="L2" t="s">
        <v>15</v>
      </c>
      <c r="M2" t="s">
        <v>7</v>
      </c>
      <c r="N2" t="s">
        <v>12</v>
      </c>
    </row>
    <row r="3" spans="1:14" x14ac:dyDescent="0.25">
      <c r="A3">
        <v>1003</v>
      </c>
      <c r="B3" s="1">
        <v>45352</v>
      </c>
      <c r="C3" t="s">
        <v>9</v>
      </c>
      <c r="D3" t="s">
        <v>24</v>
      </c>
      <c r="E3" t="s">
        <v>15</v>
      </c>
      <c r="F3">
        <f t="shared" ref="F3:F66" ca="1" si="1">RANDBETWEEN(300,2000)</f>
        <v>688</v>
      </c>
      <c r="G3">
        <f t="shared" ref="G3:G66" ca="1" si="2">F3*RANDBETWEEN(50,80)/100</f>
        <v>467.84</v>
      </c>
      <c r="H3">
        <f ca="1">F3-G2</f>
        <v>345.62</v>
      </c>
      <c r="I3" t="str">
        <f t="shared" si="0"/>
        <v>Mar</v>
      </c>
      <c r="J3">
        <f>YEAR(SalesData[[#This Row],[Date]])</f>
        <v>2024</v>
      </c>
      <c r="L3" t="s">
        <v>16</v>
      </c>
      <c r="M3" t="s">
        <v>9</v>
      </c>
      <c r="N3" t="s">
        <v>13</v>
      </c>
    </row>
    <row r="4" spans="1:14" x14ac:dyDescent="0.25">
      <c r="A4">
        <v>1004</v>
      </c>
      <c r="B4" s="1">
        <v>45353</v>
      </c>
      <c r="C4" t="s">
        <v>10</v>
      </c>
      <c r="D4" t="s">
        <v>13</v>
      </c>
      <c r="E4" t="s">
        <v>16</v>
      </c>
      <c r="F4">
        <f t="shared" ca="1" si="1"/>
        <v>591</v>
      </c>
      <c r="G4">
        <f t="shared" ca="1" si="2"/>
        <v>313.23</v>
      </c>
      <c r="H4">
        <f t="shared" ref="H3:H66" ca="1" si="3">F4-G4</f>
        <v>277.77</v>
      </c>
      <c r="I4" t="str">
        <f t="shared" si="0"/>
        <v>Mar</v>
      </c>
      <c r="J4">
        <f>YEAR(SalesData[[#This Row],[Date]])</f>
        <v>2024</v>
      </c>
      <c r="L4" t="s">
        <v>17</v>
      </c>
      <c r="M4" t="s">
        <v>10</v>
      </c>
      <c r="N4" t="s">
        <v>48</v>
      </c>
    </row>
    <row r="5" spans="1:14" x14ac:dyDescent="0.25">
      <c r="A5">
        <v>1005</v>
      </c>
      <c r="B5" s="1">
        <v>45354</v>
      </c>
      <c r="C5" t="s">
        <v>8</v>
      </c>
      <c r="D5" t="s">
        <v>12</v>
      </c>
      <c r="E5" t="s">
        <v>17</v>
      </c>
      <c r="F5">
        <f t="shared" ca="1" si="1"/>
        <v>896</v>
      </c>
      <c r="G5">
        <f t="shared" ca="1" si="2"/>
        <v>707.84</v>
      </c>
      <c r="H5">
        <f t="shared" ca="1" si="3"/>
        <v>188.15999999999997</v>
      </c>
      <c r="I5" t="str">
        <f t="shared" si="0"/>
        <v>Mar</v>
      </c>
      <c r="J5">
        <f>YEAR(SalesData[[#This Row],[Date]])</f>
        <v>2024</v>
      </c>
      <c r="L5" t="s">
        <v>18</v>
      </c>
      <c r="M5" t="s">
        <v>8</v>
      </c>
    </row>
    <row r="6" spans="1:14" x14ac:dyDescent="0.25">
      <c r="A6">
        <v>1006</v>
      </c>
      <c r="B6" s="1">
        <v>45355</v>
      </c>
      <c r="C6" t="s">
        <v>7</v>
      </c>
      <c r="D6" t="s">
        <v>24</v>
      </c>
      <c r="E6" t="s">
        <v>18</v>
      </c>
      <c r="F6">
        <f t="shared" ca="1" si="1"/>
        <v>1105</v>
      </c>
      <c r="G6">
        <f t="shared" ca="1" si="2"/>
        <v>685.1</v>
      </c>
      <c r="H6">
        <f t="shared" ca="1" si="3"/>
        <v>419.9</v>
      </c>
      <c r="I6" t="str">
        <f t="shared" si="0"/>
        <v>Mar</v>
      </c>
      <c r="J6">
        <f>YEAR(SalesData[[#This Row],[Date]])</f>
        <v>2024</v>
      </c>
      <c r="L6" t="s">
        <v>19</v>
      </c>
    </row>
    <row r="7" spans="1:14" x14ac:dyDescent="0.25">
      <c r="A7">
        <v>1007</v>
      </c>
      <c r="B7" s="1">
        <v>45356</v>
      </c>
      <c r="C7" t="s">
        <v>9</v>
      </c>
      <c r="D7" t="s">
        <v>12</v>
      </c>
      <c r="E7" t="s">
        <v>19</v>
      </c>
      <c r="F7">
        <f t="shared" ca="1" si="1"/>
        <v>1650</v>
      </c>
      <c r="G7">
        <f t="shared" ca="1" si="2"/>
        <v>1072.5</v>
      </c>
      <c r="H7">
        <f t="shared" ca="1" si="3"/>
        <v>577.5</v>
      </c>
      <c r="I7" t="str">
        <f t="shared" si="0"/>
        <v>Mar</v>
      </c>
      <c r="J7">
        <f>YEAR(SalesData[[#This Row],[Date]])</f>
        <v>2024</v>
      </c>
      <c r="L7" t="s">
        <v>20</v>
      </c>
    </row>
    <row r="8" spans="1:14" x14ac:dyDescent="0.25">
      <c r="A8">
        <v>1008</v>
      </c>
      <c r="B8" s="1">
        <v>45357</v>
      </c>
      <c r="C8" t="s">
        <v>10</v>
      </c>
      <c r="D8" t="s">
        <v>24</v>
      </c>
      <c r="E8" t="s">
        <v>20</v>
      </c>
      <c r="F8">
        <f t="shared" ca="1" si="1"/>
        <v>1490</v>
      </c>
      <c r="G8">
        <f t="shared" ca="1" si="2"/>
        <v>774.8</v>
      </c>
      <c r="H8">
        <f t="shared" ca="1" si="3"/>
        <v>715.2</v>
      </c>
      <c r="I8" t="str">
        <f t="shared" si="0"/>
        <v>Mar</v>
      </c>
      <c r="J8">
        <f>YEAR(SalesData[[#This Row],[Date]])</f>
        <v>2024</v>
      </c>
      <c r="L8" t="s">
        <v>21</v>
      </c>
    </row>
    <row r="9" spans="1:14" x14ac:dyDescent="0.25">
      <c r="A9">
        <v>1009</v>
      </c>
      <c r="B9" s="1">
        <v>45358</v>
      </c>
      <c r="C9" t="s">
        <v>8</v>
      </c>
      <c r="D9" t="s">
        <v>13</v>
      </c>
      <c r="E9" t="s">
        <v>21</v>
      </c>
      <c r="F9">
        <f t="shared" ca="1" si="1"/>
        <v>813</v>
      </c>
      <c r="G9">
        <f t="shared" ca="1" si="2"/>
        <v>439.02</v>
      </c>
      <c r="H9">
        <f t="shared" ca="1" si="3"/>
        <v>373.98</v>
      </c>
      <c r="I9" t="str">
        <f t="shared" si="0"/>
        <v>Mar</v>
      </c>
      <c r="J9">
        <f>YEAR(SalesData[[#This Row],[Date]])</f>
        <v>2024</v>
      </c>
      <c r="L9" t="s">
        <v>22</v>
      </c>
    </row>
    <row r="10" spans="1:14" x14ac:dyDescent="0.25">
      <c r="A10">
        <v>1010</v>
      </c>
      <c r="B10" s="1">
        <v>45359</v>
      </c>
      <c r="C10" t="s">
        <v>7</v>
      </c>
      <c r="D10" t="s">
        <v>12</v>
      </c>
      <c r="E10" t="s">
        <v>22</v>
      </c>
      <c r="F10">
        <f t="shared" ca="1" si="1"/>
        <v>1706</v>
      </c>
      <c r="G10">
        <f t="shared" ca="1" si="2"/>
        <v>989.48</v>
      </c>
      <c r="H10">
        <f t="shared" ca="1" si="3"/>
        <v>716.52</v>
      </c>
      <c r="I10" t="str">
        <f t="shared" si="0"/>
        <v>Mar</v>
      </c>
      <c r="J10">
        <f>YEAR(SalesData[[#This Row],[Date]])</f>
        <v>2024</v>
      </c>
      <c r="L10" t="s">
        <v>23</v>
      </c>
    </row>
    <row r="11" spans="1:14" x14ac:dyDescent="0.25">
      <c r="A11">
        <v>1011</v>
      </c>
      <c r="B11" s="1">
        <v>45360</v>
      </c>
      <c r="C11" t="s">
        <v>9</v>
      </c>
      <c r="D11" t="s">
        <v>24</v>
      </c>
      <c r="E11" t="s">
        <v>23</v>
      </c>
      <c r="F11">
        <f t="shared" ca="1" si="1"/>
        <v>1825</v>
      </c>
      <c r="G11">
        <f t="shared" ca="1" si="2"/>
        <v>1387</v>
      </c>
      <c r="H11">
        <f t="shared" ca="1" si="3"/>
        <v>438</v>
      </c>
      <c r="I11" t="str">
        <f t="shared" si="0"/>
        <v>Mar</v>
      </c>
      <c r="J11">
        <f>YEAR(SalesData[[#This Row],[Date]])</f>
        <v>2024</v>
      </c>
    </row>
    <row r="12" spans="1:14" x14ac:dyDescent="0.25">
      <c r="A12">
        <v>1012</v>
      </c>
      <c r="B12" s="1">
        <v>45361</v>
      </c>
      <c r="C12" t="s">
        <v>10</v>
      </c>
      <c r="D12" t="s">
        <v>12</v>
      </c>
      <c r="E12" t="s">
        <v>14</v>
      </c>
      <c r="F12">
        <f t="shared" ca="1" si="1"/>
        <v>740</v>
      </c>
      <c r="G12">
        <f t="shared" ca="1" si="2"/>
        <v>444</v>
      </c>
      <c r="H12">
        <f t="shared" ca="1" si="3"/>
        <v>296</v>
      </c>
      <c r="I12" t="str">
        <f t="shared" si="0"/>
        <v>Mar</v>
      </c>
      <c r="J12">
        <f>YEAR(SalesData[[#This Row],[Date]])</f>
        <v>2024</v>
      </c>
    </row>
    <row r="13" spans="1:14" x14ac:dyDescent="0.25">
      <c r="A13">
        <v>1013</v>
      </c>
      <c r="B13" s="1">
        <v>45362</v>
      </c>
      <c r="C13" t="s">
        <v>8</v>
      </c>
      <c r="D13" t="s">
        <v>24</v>
      </c>
      <c r="E13" t="s">
        <v>15</v>
      </c>
      <c r="F13">
        <f t="shared" ca="1" si="1"/>
        <v>502</v>
      </c>
      <c r="G13">
        <f t="shared" ca="1" si="2"/>
        <v>301.2</v>
      </c>
      <c r="H13">
        <f t="shared" ca="1" si="3"/>
        <v>200.8</v>
      </c>
      <c r="I13" t="str">
        <f t="shared" si="0"/>
        <v>Mar</v>
      </c>
      <c r="J13">
        <f>YEAR(SalesData[[#This Row],[Date]])</f>
        <v>2024</v>
      </c>
    </row>
    <row r="14" spans="1:14" x14ac:dyDescent="0.25">
      <c r="A14">
        <v>1014</v>
      </c>
      <c r="B14" s="1">
        <v>45363</v>
      </c>
      <c r="C14" t="s">
        <v>7</v>
      </c>
      <c r="D14" t="s">
        <v>13</v>
      </c>
      <c r="E14" t="s">
        <v>16</v>
      </c>
      <c r="F14">
        <f t="shared" ca="1" si="1"/>
        <v>1239</v>
      </c>
      <c r="G14">
        <f t="shared" ca="1" si="2"/>
        <v>631.89</v>
      </c>
      <c r="H14">
        <f t="shared" ca="1" si="3"/>
        <v>607.11</v>
      </c>
      <c r="I14" t="str">
        <f t="shared" si="0"/>
        <v>Mar</v>
      </c>
      <c r="J14">
        <f>YEAR(SalesData[[#This Row],[Date]])</f>
        <v>2024</v>
      </c>
    </row>
    <row r="15" spans="1:14" x14ac:dyDescent="0.25">
      <c r="A15">
        <v>1015</v>
      </c>
      <c r="B15" s="1">
        <v>45364</v>
      </c>
      <c r="C15" t="s">
        <v>9</v>
      </c>
      <c r="D15" t="s">
        <v>12</v>
      </c>
      <c r="E15" t="s">
        <v>17</v>
      </c>
      <c r="F15">
        <f t="shared" ca="1" si="1"/>
        <v>1919</v>
      </c>
      <c r="G15">
        <f t="shared" ca="1" si="2"/>
        <v>1458.44</v>
      </c>
      <c r="H15">
        <f t="shared" ca="1" si="3"/>
        <v>460.55999999999995</v>
      </c>
      <c r="I15" t="str">
        <f t="shared" si="0"/>
        <v>Mar</v>
      </c>
      <c r="J15">
        <f>YEAR(SalesData[[#This Row],[Date]])</f>
        <v>2024</v>
      </c>
    </row>
    <row r="16" spans="1:14" x14ac:dyDescent="0.25">
      <c r="A16">
        <v>1016</v>
      </c>
      <c r="B16" s="1">
        <v>45365</v>
      </c>
      <c r="C16" t="s">
        <v>10</v>
      </c>
      <c r="D16" t="s">
        <v>24</v>
      </c>
      <c r="E16" t="s">
        <v>18</v>
      </c>
      <c r="F16">
        <f t="shared" ca="1" si="1"/>
        <v>1689</v>
      </c>
      <c r="G16">
        <f t="shared" ca="1" si="2"/>
        <v>1199.19</v>
      </c>
      <c r="H16">
        <f t="shared" ca="1" si="3"/>
        <v>489.80999999999995</v>
      </c>
      <c r="I16" t="str">
        <f t="shared" si="0"/>
        <v>Mar</v>
      </c>
      <c r="J16">
        <f>YEAR(SalesData[[#This Row],[Date]])</f>
        <v>2024</v>
      </c>
    </row>
    <row r="17" spans="1:10" x14ac:dyDescent="0.25">
      <c r="A17">
        <v>1017</v>
      </c>
      <c r="B17" s="1">
        <v>45366</v>
      </c>
      <c r="C17" t="s">
        <v>8</v>
      </c>
      <c r="D17" t="s">
        <v>12</v>
      </c>
      <c r="E17" t="s">
        <v>19</v>
      </c>
      <c r="F17">
        <f t="shared" ca="1" si="1"/>
        <v>646</v>
      </c>
      <c r="G17">
        <f t="shared" ca="1" si="2"/>
        <v>503.88</v>
      </c>
      <c r="H17">
        <f t="shared" ca="1" si="3"/>
        <v>142.12</v>
      </c>
      <c r="I17" t="str">
        <f t="shared" si="0"/>
        <v>Mar</v>
      </c>
      <c r="J17">
        <f>YEAR(SalesData[[#This Row],[Date]])</f>
        <v>2024</v>
      </c>
    </row>
    <row r="18" spans="1:10" x14ac:dyDescent="0.25">
      <c r="A18">
        <v>1018</v>
      </c>
      <c r="B18" s="1">
        <v>45367</v>
      </c>
      <c r="C18" t="s">
        <v>7</v>
      </c>
      <c r="D18" t="s">
        <v>24</v>
      </c>
      <c r="E18" t="s">
        <v>20</v>
      </c>
      <c r="F18">
        <f t="shared" ca="1" si="1"/>
        <v>462</v>
      </c>
      <c r="G18">
        <f t="shared" ca="1" si="2"/>
        <v>314.16000000000003</v>
      </c>
      <c r="H18">
        <f t="shared" ca="1" si="3"/>
        <v>147.83999999999997</v>
      </c>
      <c r="I18" t="str">
        <f t="shared" si="0"/>
        <v>Mar</v>
      </c>
      <c r="J18">
        <f>YEAR(SalesData[[#This Row],[Date]])</f>
        <v>2024</v>
      </c>
    </row>
    <row r="19" spans="1:10" x14ac:dyDescent="0.25">
      <c r="A19">
        <v>1019</v>
      </c>
      <c r="B19" s="1">
        <v>45368</v>
      </c>
      <c r="C19" t="s">
        <v>9</v>
      </c>
      <c r="D19" t="s">
        <v>13</v>
      </c>
      <c r="E19" t="s">
        <v>21</v>
      </c>
      <c r="F19">
        <f t="shared" ca="1" si="1"/>
        <v>1801</v>
      </c>
      <c r="G19">
        <f t="shared" ca="1" si="2"/>
        <v>1152.6400000000001</v>
      </c>
      <c r="H19">
        <f t="shared" ca="1" si="3"/>
        <v>648.3599999999999</v>
      </c>
      <c r="I19" t="str">
        <f t="shared" si="0"/>
        <v>Mar</v>
      </c>
      <c r="J19">
        <f>YEAR(SalesData[[#This Row],[Date]])</f>
        <v>2024</v>
      </c>
    </row>
    <row r="20" spans="1:10" x14ac:dyDescent="0.25">
      <c r="A20">
        <v>1020</v>
      </c>
      <c r="B20" s="1">
        <v>45369</v>
      </c>
      <c r="C20" t="s">
        <v>10</v>
      </c>
      <c r="D20" t="s">
        <v>12</v>
      </c>
      <c r="E20" t="s">
        <v>22</v>
      </c>
      <c r="F20">
        <f t="shared" ca="1" si="1"/>
        <v>1452</v>
      </c>
      <c r="G20">
        <f t="shared" ca="1" si="2"/>
        <v>1030.92</v>
      </c>
      <c r="H20">
        <f t="shared" ca="1" si="3"/>
        <v>421.07999999999993</v>
      </c>
      <c r="I20" t="str">
        <f t="shared" si="0"/>
        <v>Mar</v>
      </c>
      <c r="J20">
        <f>YEAR(SalesData[[#This Row],[Date]])</f>
        <v>2024</v>
      </c>
    </row>
    <row r="21" spans="1:10" x14ac:dyDescent="0.25">
      <c r="A21">
        <v>1021</v>
      </c>
      <c r="B21" s="1">
        <v>45370</v>
      </c>
      <c r="C21" t="s">
        <v>8</v>
      </c>
      <c r="D21" t="s">
        <v>24</v>
      </c>
      <c r="E21" t="s">
        <v>23</v>
      </c>
      <c r="F21">
        <f t="shared" ca="1" si="1"/>
        <v>673</v>
      </c>
      <c r="G21">
        <f t="shared" ca="1" si="2"/>
        <v>423.99</v>
      </c>
      <c r="H21">
        <f t="shared" ca="1" si="3"/>
        <v>249.01</v>
      </c>
      <c r="I21" t="str">
        <f t="shared" si="0"/>
        <v>Mar</v>
      </c>
      <c r="J21">
        <f>YEAR(SalesData[[#This Row],[Date]])</f>
        <v>2024</v>
      </c>
    </row>
    <row r="22" spans="1:10" x14ac:dyDescent="0.25">
      <c r="A22">
        <v>1022</v>
      </c>
      <c r="B22" s="1">
        <v>45371</v>
      </c>
      <c r="C22" t="s">
        <v>7</v>
      </c>
      <c r="D22" t="s">
        <v>12</v>
      </c>
      <c r="E22" t="s">
        <v>14</v>
      </c>
      <c r="F22">
        <f t="shared" ca="1" si="1"/>
        <v>1713</v>
      </c>
      <c r="G22">
        <f t="shared" ca="1" si="2"/>
        <v>1096.32</v>
      </c>
      <c r="H22">
        <f t="shared" ca="1" si="3"/>
        <v>616.68000000000006</v>
      </c>
      <c r="I22" t="str">
        <f t="shared" si="0"/>
        <v>Mar</v>
      </c>
      <c r="J22">
        <f>YEAR(SalesData[[#This Row],[Date]])</f>
        <v>2024</v>
      </c>
    </row>
    <row r="23" spans="1:10" x14ac:dyDescent="0.25">
      <c r="A23">
        <v>1023</v>
      </c>
      <c r="B23" s="1">
        <v>45372</v>
      </c>
      <c r="C23" t="s">
        <v>9</v>
      </c>
      <c r="D23" t="s">
        <v>24</v>
      </c>
      <c r="E23" t="s">
        <v>15</v>
      </c>
      <c r="F23">
        <f t="shared" ca="1" si="1"/>
        <v>1354</v>
      </c>
      <c r="G23">
        <f t="shared" ca="1" si="2"/>
        <v>866.56</v>
      </c>
      <c r="H23">
        <f t="shared" ca="1" si="3"/>
        <v>487.44000000000005</v>
      </c>
      <c r="I23" t="str">
        <f t="shared" si="0"/>
        <v>Mar</v>
      </c>
      <c r="J23">
        <f>YEAR(SalesData[[#This Row],[Date]])</f>
        <v>2024</v>
      </c>
    </row>
    <row r="24" spans="1:10" x14ac:dyDescent="0.25">
      <c r="A24">
        <v>1024</v>
      </c>
      <c r="B24" s="1">
        <v>45373</v>
      </c>
      <c r="C24" t="s">
        <v>10</v>
      </c>
      <c r="D24" t="s">
        <v>13</v>
      </c>
      <c r="E24" t="s">
        <v>16</v>
      </c>
      <c r="F24">
        <f t="shared" ca="1" si="1"/>
        <v>1308</v>
      </c>
      <c r="G24">
        <f t="shared" ca="1" si="2"/>
        <v>680.16</v>
      </c>
      <c r="H24">
        <f t="shared" ca="1" si="3"/>
        <v>627.84</v>
      </c>
      <c r="I24" t="str">
        <f t="shared" si="0"/>
        <v>Mar</v>
      </c>
      <c r="J24">
        <f>YEAR(SalesData[[#This Row],[Date]])</f>
        <v>2024</v>
      </c>
    </row>
    <row r="25" spans="1:10" x14ac:dyDescent="0.25">
      <c r="A25">
        <v>1025</v>
      </c>
      <c r="B25" s="1">
        <v>45374</v>
      </c>
      <c r="C25" t="s">
        <v>8</v>
      </c>
      <c r="D25" t="s">
        <v>12</v>
      </c>
      <c r="E25" t="s">
        <v>17</v>
      </c>
      <c r="F25">
        <f t="shared" ca="1" si="1"/>
        <v>563</v>
      </c>
      <c r="G25">
        <f t="shared" ca="1" si="2"/>
        <v>337.8</v>
      </c>
      <c r="H25">
        <f t="shared" ca="1" si="3"/>
        <v>225.2</v>
      </c>
      <c r="I25" t="str">
        <f t="shared" si="0"/>
        <v>Mar</v>
      </c>
      <c r="J25">
        <f>YEAR(SalesData[[#This Row],[Date]])</f>
        <v>2024</v>
      </c>
    </row>
    <row r="26" spans="1:10" x14ac:dyDescent="0.25">
      <c r="A26">
        <v>1026</v>
      </c>
      <c r="B26" s="1">
        <v>45375</v>
      </c>
      <c r="C26" t="s">
        <v>7</v>
      </c>
      <c r="D26" t="s">
        <v>24</v>
      </c>
      <c r="E26" t="s">
        <v>18</v>
      </c>
      <c r="F26">
        <f t="shared" ca="1" si="1"/>
        <v>651</v>
      </c>
      <c r="G26">
        <f t="shared" ca="1" si="2"/>
        <v>403.62</v>
      </c>
      <c r="H26">
        <f t="shared" ca="1" si="3"/>
        <v>247.38</v>
      </c>
      <c r="I26" t="str">
        <f t="shared" si="0"/>
        <v>Mar</v>
      </c>
      <c r="J26">
        <f>YEAR(SalesData[[#This Row],[Date]])</f>
        <v>2024</v>
      </c>
    </row>
    <row r="27" spans="1:10" x14ac:dyDescent="0.25">
      <c r="A27">
        <v>1027</v>
      </c>
      <c r="B27" s="1">
        <v>45376</v>
      </c>
      <c r="C27" t="s">
        <v>9</v>
      </c>
      <c r="D27" t="s">
        <v>12</v>
      </c>
      <c r="E27" t="s">
        <v>19</v>
      </c>
      <c r="F27">
        <f t="shared" ca="1" si="1"/>
        <v>587</v>
      </c>
      <c r="G27">
        <f t="shared" ca="1" si="2"/>
        <v>410.9</v>
      </c>
      <c r="H27">
        <f t="shared" ca="1" si="3"/>
        <v>176.10000000000002</v>
      </c>
      <c r="I27" t="str">
        <f t="shared" si="0"/>
        <v>Mar</v>
      </c>
      <c r="J27">
        <f>YEAR(SalesData[[#This Row],[Date]])</f>
        <v>2024</v>
      </c>
    </row>
    <row r="28" spans="1:10" x14ac:dyDescent="0.25">
      <c r="A28">
        <v>1028</v>
      </c>
      <c r="B28" s="1">
        <v>45377</v>
      </c>
      <c r="C28" t="s">
        <v>10</v>
      </c>
      <c r="D28" t="s">
        <v>24</v>
      </c>
      <c r="E28" t="s">
        <v>20</v>
      </c>
      <c r="F28">
        <f t="shared" ca="1" si="1"/>
        <v>1208</v>
      </c>
      <c r="G28">
        <f t="shared" ca="1" si="2"/>
        <v>736.88</v>
      </c>
      <c r="H28">
        <f t="shared" ca="1" si="3"/>
        <v>471.12</v>
      </c>
      <c r="I28" t="str">
        <f t="shared" si="0"/>
        <v>Mar</v>
      </c>
      <c r="J28">
        <f>YEAR(SalesData[[#This Row],[Date]])</f>
        <v>2024</v>
      </c>
    </row>
    <row r="29" spans="1:10" x14ac:dyDescent="0.25">
      <c r="A29">
        <v>1029</v>
      </c>
      <c r="B29" s="1">
        <v>45378</v>
      </c>
      <c r="C29" t="s">
        <v>8</v>
      </c>
      <c r="D29" t="s">
        <v>13</v>
      </c>
      <c r="E29" t="s">
        <v>21</v>
      </c>
      <c r="F29">
        <f t="shared" ca="1" si="1"/>
        <v>1277</v>
      </c>
      <c r="G29">
        <f t="shared" ca="1" si="2"/>
        <v>817.28</v>
      </c>
      <c r="H29">
        <f t="shared" ca="1" si="3"/>
        <v>459.72</v>
      </c>
      <c r="I29" t="str">
        <f t="shared" si="0"/>
        <v>Mar</v>
      </c>
      <c r="J29">
        <f>YEAR(SalesData[[#This Row],[Date]])</f>
        <v>2024</v>
      </c>
    </row>
    <row r="30" spans="1:10" x14ac:dyDescent="0.25">
      <c r="A30">
        <v>1030</v>
      </c>
      <c r="B30" s="1">
        <v>45379</v>
      </c>
      <c r="C30" t="s">
        <v>7</v>
      </c>
      <c r="D30" t="s">
        <v>12</v>
      </c>
      <c r="E30" t="s">
        <v>22</v>
      </c>
      <c r="F30">
        <f t="shared" ca="1" si="1"/>
        <v>530</v>
      </c>
      <c r="G30">
        <f t="shared" ca="1" si="2"/>
        <v>291.5</v>
      </c>
      <c r="H30">
        <f t="shared" ca="1" si="3"/>
        <v>238.5</v>
      </c>
      <c r="I30" t="str">
        <f t="shared" si="0"/>
        <v>Mar</v>
      </c>
      <c r="J30">
        <f>YEAR(SalesData[[#This Row],[Date]])</f>
        <v>2024</v>
      </c>
    </row>
    <row r="31" spans="1:10" x14ac:dyDescent="0.25">
      <c r="A31">
        <v>1031</v>
      </c>
      <c r="B31" s="1">
        <v>45380</v>
      </c>
      <c r="C31" t="s">
        <v>9</v>
      </c>
      <c r="D31" t="s">
        <v>24</v>
      </c>
      <c r="E31" t="s">
        <v>23</v>
      </c>
      <c r="F31">
        <f t="shared" ca="1" si="1"/>
        <v>761</v>
      </c>
      <c r="G31">
        <f t="shared" ca="1" si="2"/>
        <v>547.91999999999996</v>
      </c>
      <c r="H31">
        <f t="shared" ca="1" si="3"/>
        <v>213.08000000000004</v>
      </c>
      <c r="I31" t="str">
        <f t="shared" si="0"/>
        <v>Mar</v>
      </c>
      <c r="J31">
        <f>YEAR(SalesData[[#This Row],[Date]])</f>
        <v>2024</v>
      </c>
    </row>
    <row r="32" spans="1:10" x14ac:dyDescent="0.25">
      <c r="A32">
        <v>1032</v>
      </c>
      <c r="B32" s="1">
        <v>45381</v>
      </c>
      <c r="C32" t="s">
        <v>10</v>
      </c>
      <c r="D32" t="s">
        <v>12</v>
      </c>
      <c r="E32" t="s">
        <v>14</v>
      </c>
      <c r="F32">
        <f t="shared" ca="1" si="1"/>
        <v>1584</v>
      </c>
      <c r="G32">
        <f t="shared" ca="1" si="2"/>
        <v>934.56</v>
      </c>
      <c r="H32">
        <f t="shared" ca="1" si="3"/>
        <v>649.44000000000005</v>
      </c>
      <c r="I32" t="str">
        <f t="shared" si="0"/>
        <v>Mar</v>
      </c>
      <c r="J32">
        <f>YEAR(SalesData[[#This Row],[Date]])</f>
        <v>2024</v>
      </c>
    </row>
    <row r="33" spans="1:10" x14ac:dyDescent="0.25">
      <c r="A33">
        <v>1033</v>
      </c>
      <c r="B33" s="1">
        <v>45382</v>
      </c>
      <c r="C33" t="s">
        <v>8</v>
      </c>
      <c r="D33" t="s">
        <v>24</v>
      </c>
      <c r="E33" t="s">
        <v>15</v>
      </c>
      <c r="F33">
        <f t="shared" ca="1" si="1"/>
        <v>1494</v>
      </c>
      <c r="G33">
        <f t="shared" ca="1" si="2"/>
        <v>881.46</v>
      </c>
      <c r="H33">
        <f t="shared" ca="1" si="3"/>
        <v>612.54</v>
      </c>
      <c r="I33" t="str">
        <f t="shared" si="0"/>
        <v>Mar</v>
      </c>
      <c r="J33">
        <f>YEAR(SalesData[[#This Row],[Date]])</f>
        <v>2024</v>
      </c>
    </row>
    <row r="34" spans="1:10" x14ac:dyDescent="0.25">
      <c r="A34">
        <v>1034</v>
      </c>
      <c r="B34" s="1">
        <v>45383</v>
      </c>
      <c r="C34" t="s">
        <v>7</v>
      </c>
      <c r="D34" t="s">
        <v>13</v>
      </c>
      <c r="E34" t="s">
        <v>16</v>
      </c>
      <c r="F34">
        <f t="shared" ca="1" si="1"/>
        <v>1760</v>
      </c>
      <c r="G34">
        <f t="shared" ca="1" si="2"/>
        <v>1320</v>
      </c>
      <c r="H34">
        <f t="shared" ca="1" si="3"/>
        <v>440</v>
      </c>
      <c r="I34" t="str">
        <f t="shared" si="0"/>
        <v>Apr</v>
      </c>
      <c r="J34">
        <f>YEAR(SalesData[[#This Row],[Date]])</f>
        <v>2024</v>
      </c>
    </row>
    <row r="35" spans="1:10" x14ac:dyDescent="0.25">
      <c r="A35">
        <v>1035</v>
      </c>
      <c r="B35" s="1">
        <v>45384</v>
      </c>
      <c r="C35" t="s">
        <v>9</v>
      </c>
      <c r="D35" t="s">
        <v>12</v>
      </c>
      <c r="E35" t="s">
        <v>17</v>
      </c>
      <c r="F35">
        <f t="shared" ca="1" si="1"/>
        <v>502</v>
      </c>
      <c r="G35">
        <f t="shared" ca="1" si="2"/>
        <v>341.36</v>
      </c>
      <c r="H35">
        <f t="shared" ca="1" si="3"/>
        <v>160.63999999999999</v>
      </c>
      <c r="I35" t="str">
        <f t="shared" si="0"/>
        <v>Apr</v>
      </c>
      <c r="J35">
        <f>YEAR(SalesData[[#This Row],[Date]])</f>
        <v>2024</v>
      </c>
    </row>
    <row r="36" spans="1:10" x14ac:dyDescent="0.25">
      <c r="A36">
        <v>1036</v>
      </c>
      <c r="B36" s="1">
        <v>45385</v>
      </c>
      <c r="C36" t="s">
        <v>10</v>
      </c>
      <c r="D36" t="s">
        <v>24</v>
      </c>
      <c r="E36" t="s">
        <v>18</v>
      </c>
      <c r="F36">
        <f t="shared" ca="1" si="1"/>
        <v>770</v>
      </c>
      <c r="G36">
        <f t="shared" ca="1" si="2"/>
        <v>462</v>
      </c>
      <c r="H36">
        <f t="shared" ca="1" si="3"/>
        <v>308</v>
      </c>
      <c r="I36" t="str">
        <f t="shared" si="0"/>
        <v>Apr</v>
      </c>
      <c r="J36">
        <f>YEAR(SalesData[[#This Row],[Date]])</f>
        <v>2024</v>
      </c>
    </row>
    <row r="37" spans="1:10" x14ac:dyDescent="0.25">
      <c r="A37">
        <v>1037</v>
      </c>
      <c r="B37" s="1">
        <v>45386</v>
      </c>
      <c r="C37" t="s">
        <v>8</v>
      </c>
      <c r="D37" t="s">
        <v>12</v>
      </c>
      <c r="E37" t="s">
        <v>19</v>
      </c>
      <c r="F37">
        <f t="shared" ca="1" si="1"/>
        <v>1384</v>
      </c>
      <c r="G37">
        <f t="shared" ca="1" si="2"/>
        <v>996.48</v>
      </c>
      <c r="H37">
        <f t="shared" ca="1" si="3"/>
        <v>387.52</v>
      </c>
      <c r="I37" t="str">
        <f t="shared" si="0"/>
        <v>Apr</v>
      </c>
      <c r="J37">
        <f>YEAR(SalesData[[#This Row],[Date]])</f>
        <v>2024</v>
      </c>
    </row>
    <row r="38" spans="1:10" x14ac:dyDescent="0.25">
      <c r="A38">
        <v>1038</v>
      </c>
      <c r="B38" s="1">
        <v>45387</v>
      </c>
      <c r="C38" t="s">
        <v>7</v>
      </c>
      <c r="D38" t="s">
        <v>24</v>
      </c>
      <c r="E38" t="s">
        <v>20</v>
      </c>
      <c r="F38">
        <f t="shared" ca="1" si="1"/>
        <v>1063</v>
      </c>
      <c r="G38">
        <f t="shared" ca="1" si="2"/>
        <v>754.73</v>
      </c>
      <c r="H38">
        <f t="shared" ca="1" si="3"/>
        <v>308.27</v>
      </c>
      <c r="I38" t="str">
        <f t="shared" si="0"/>
        <v>Apr</v>
      </c>
      <c r="J38">
        <f>YEAR(SalesData[[#This Row],[Date]])</f>
        <v>2024</v>
      </c>
    </row>
    <row r="39" spans="1:10" x14ac:dyDescent="0.25">
      <c r="A39">
        <v>1039</v>
      </c>
      <c r="B39" s="1">
        <v>45388</v>
      </c>
      <c r="C39" t="s">
        <v>9</v>
      </c>
      <c r="D39" t="s">
        <v>13</v>
      </c>
      <c r="E39" t="s">
        <v>21</v>
      </c>
      <c r="F39">
        <f t="shared" ca="1" si="1"/>
        <v>1381</v>
      </c>
      <c r="G39">
        <f t="shared" ca="1" si="2"/>
        <v>814.79</v>
      </c>
      <c r="H39">
        <f t="shared" ca="1" si="3"/>
        <v>566.21</v>
      </c>
      <c r="I39" t="str">
        <f t="shared" si="0"/>
        <v>Apr</v>
      </c>
      <c r="J39">
        <f>YEAR(SalesData[[#This Row],[Date]])</f>
        <v>2024</v>
      </c>
    </row>
    <row r="40" spans="1:10" x14ac:dyDescent="0.25">
      <c r="A40">
        <v>1040</v>
      </c>
      <c r="B40" s="1">
        <v>45389</v>
      </c>
      <c r="C40" t="s">
        <v>10</v>
      </c>
      <c r="D40" t="s">
        <v>12</v>
      </c>
      <c r="E40" t="s">
        <v>22</v>
      </c>
      <c r="F40">
        <f t="shared" ca="1" si="1"/>
        <v>1961</v>
      </c>
      <c r="G40">
        <f t="shared" ca="1" si="2"/>
        <v>1549.19</v>
      </c>
      <c r="H40">
        <f t="shared" ca="1" si="3"/>
        <v>411.80999999999995</v>
      </c>
      <c r="I40" t="str">
        <f t="shared" si="0"/>
        <v>Apr</v>
      </c>
      <c r="J40">
        <f>YEAR(SalesData[[#This Row],[Date]])</f>
        <v>2024</v>
      </c>
    </row>
    <row r="41" spans="1:10" x14ac:dyDescent="0.25">
      <c r="A41">
        <v>1041</v>
      </c>
      <c r="B41" s="1">
        <v>45390</v>
      </c>
      <c r="C41" t="s">
        <v>8</v>
      </c>
      <c r="D41" t="s">
        <v>24</v>
      </c>
      <c r="E41" t="s">
        <v>23</v>
      </c>
      <c r="F41">
        <f t="shared" ca="1" si="1"/>
        <v>1882</v>
      </c>
      <c r="G41">
        <f t="shared" ca="1" si="2"/>
        <v>1185.6600000000001</v>
      </c>
      <c r="H41">
        <f t="shared" ca="1" si="3"/>
        <v>696.33999999999992</v>
      </c>
      <c r="I41" t="str">
        <f t="shared" si="0"/>
        <v>Apr</v>
      </c>
      <c r="J41">
        <f>YEAR(SalesData[[#This Row],[Date]])</f>
        <v>2024</v>
      </c>
    </row>
    <row r="42" spans="1:10" x14ac:dyDescent="0.25">
      <c r="A42">
        <v>1042</v>
      </c>
      <c r="B42" s="1">
        <v>45391</v>
      </c>
      <c r="C42" t="s">
        <v>7</v>
      </c>
      <c r="D42" t="s">
        <v>12</v>
      </c>
      <c r="E42" t="s">
        <v>14</v>
      </c>
      <c r="F42">
        <f t="shared" ca="1" si="1"/>
        <v>1609</v>
      </c>
      <c r="G42">
        <f t="shared" ca="1" si="2"/>
        <v>1110.21</v>
      </c>
      <c r="H42">
        <f t="shared" ca="1" si="3"/>
        <v>498.78999999999996</v>
      </c>
      <c r="I42" t="str">
        <f t="shared" si="0"/>
        <v>Apr</v>
      </c>
      <c r="J42">
        <f>YEAR(SalesData[[#This Row],[Date]])</f>
        <v>2024</v>
      </c>
    </row>
    <row r="43" spans="1:10" x14ac:dyDescent="0.25">
      <c r="A43">
        <v>1043</v>
      </c>
      <c r="B43" s="1">
        <v>45392</v>
      </c>
      <c r="C43" t="s">
        <v>9</v>
      </c>
      <c r="D43" t="s">
        <v>24</v>
      </c>
      <c r="E43" t="s">
        <v>15</v>
      </c>
      <c r="F43">
        <f t="shared" ca="1" si="1"/>
        <v>606</v>
      </c>
      <c r="G43">
        <f t="shared" ca="1" si="2"/>
        <v>430.26</v>
      </c>
      <c r="H43">
        <f t="shared" ca="1" si="3"/>
        <v>175.74</v>
      </c>
      <c r="I43" t="str">
        <f t="shared" si="0"/>
        <v>Apr</v>
      </c>
      <c r="J43">
        <f>YEAR(SalesData[[#This Row],[Date]])</f>
        <v>2024</v>
      </c>
    </row>
    <row r="44" spans="1:10" x14ac:dyDescent="0.25">
      <c r="A44">
        <v>1044</v>
      </c>
      <c r="B44" s="1">
        <v>45393</v>
      </c>
      <c r="C44" t="s">
        <v>10</v>
      </c>
      <c r="D44" t="s">
        <v>13</v>
      </c>
      <c r="E44" t="s">
        <v>16</v>
      </c>
      <c r="F44">
        <f t="shared" ca="1" si="1"/>
        <v>1675</v>
      </c>
      <c r="G44">
        <f t="shared" ca="1" si="2"/>
        <v>904.5</v>
      </c>
      <c r="H44">
        <f t="shared" ca="1" si="3"/>
        <v>770.5</v>
      </c>
      <c r="I44" t="str">
        <f t="shared" si="0"/>
        <v>Apr</v>
      </c>
      <c r="J44">
        <f>YEAR(SalesData[[#This Row],[Date]])</f>
        <v>2024</v>
      </c>
    </row>
    <row r="45" spans="1:10" x14ac:dyDescent="0.25">
      <c r="A45">
        <v>1045</v>
      </c>
      <c r="B45" s="1">
        <v>45394</v>
      </c>
      <c r="C45" t="s">
        <v>8</v>
      </c>
      <c r="D45" t="s">
        <v>12</v>
      </c>
      <c r="E45" t="s">
        <v>17</v>
      </c>
      <c r="F45">
        <f t="shared" ca="1" si="1"/>
        <v>896</v>
      </c>
      <c r="G45">
        <f t="shared" ca="1" si="2"/>
        <v>510.72</v>
      </c>
      <c r="H45">
        <f t="shared" ca="1" si="3"/>
        <v>385.28</v>
      </c>
      <c r="I45" t="str">
        <f t="shared" si="0"/>
        <v>Apr</v>
      </c>
      <c r="J45">
        <f>YEAR(SalesData[[#This Row],[Date]])</f>
        <v>2024</v>
      </c>
    </row>
    <row r="46" spans="1:10" x14ac:dyDescent="0.25">
      <c r="A46">
        <v>1046</v>
      </c>
      <c r="B46" s="1">
        <v>45395</v>
      </c>
      <c r="C46" t="s">
        <v>7</v>
      </c>
      <c r="D46" t="s">
        <v>24</v>
      </c>
      <c r="E46" t="s">
        <v>18</v>
      </c>
      <c r="F46">
        <f t="shared" ca="1" si="1"/>
        <v>1681</v>
      </c>
      <c r="G46">
        <f t="shared" ca="1" si="2"/>
        <v>1311.18</v>
      </c>
      <c r="H46">
        <f t="shared" ca="1" si="3"/>
        <v>369.81999999999994</v>
      </c>
      <c r="I46" t="str">
        <f t="shared" si="0"/>
        <v>Apr</v>
      </c>
      <c r="J46">
        <f>YEAR(SalesData[[#This Row],[Date]])</f>
        <v>2024</v>
      </c>
    </row>
    <row r="47" spans="1:10" x14ac:dyDescent="0.25">
      <c r="A47">
        <v>1047</v>
      </c>
      <c r="B47" s="1">
        <v>45396</v>
      </c>
      <c r="C47" t="s">
        <v>9</v>
      </c>
      <c r="D47" t="s">
        <v>12</v>
      </c>
      <c r="E47" t="s">
        <v>19</v>
      </c>
      <c r="F47">
        <f t="shared" ca="1" si="1"/>
        <v>1011</v>
      </c>
      <c r="G47">
        <f t="shared" ca="1" si="2"/>
        <v>545.94000000000005</v>
      </c>
      <c r="H47">
        <f t="shared" ca="1" si="3"/>
        <v>465.05999999999995</v>
      </c>
      <c r="I47" t="str">
        <f t="shared" si="0"/>
        <v>Apr</v>
      </c>
      <c r="J47">
        <f>YEAR(SalesData[[#This Row],[Date]])</f>
        <v>2024</v>
      </c>
    </row>
    <row r="48" spans="1:10" x14ac:dyDescent="0.25">
      <c r="A48">
        <v>1048</v>
      </c>
      <c r="B48" s="1">
        <v>45397</v>
      </c>
      <c r="C48" t="s">
        <v>10</v>
      </c>
      <c r="D48" t="s">
        <v>24</v>
      </c>
      <c r="E48" t="s">
        <v>20</v>
      </c>
      <c r="F48">
        <f t="shared" ca="1" si="1"/>
        <v>1573</v>
      </c>
      <c r="G48">
        <f t="shared" ca="1" si="2"/>
        <v>1038.18</v>
      </c>
      <c r="H48">
        <f t="shared" ca="1" si="3"/>
        <v>534.81999999999994</v>
      </c>
      <c r="I48" t="str">
        <f t="shared" si="0"/>
        <v>Apr</v>
      </c>
      <c r="J48">
        <f>YEAR(SalesData[[#This Row],[Date]])</f>
        <v>2024</v>
      </c>
    </row>
    <row r="49" spans="1:10" x14ac:dyDescent="0.25">
      <c r="A49">
        <v>1049</v>
      </c>
      <c r="B49" s="1">
        <v>45398</v>
      </c>
      <c r="C49" t="s">
        <v>8</v>
      </c>
      <c r="D49" t="s">
        <v>13</v>
      </c>
      <c r="E49" t="s">
        <v>21</v>
      </c>
      <c r="F49">
        <f t="shared" ca="1" si="1"/>
        <v>905</v>
      </c>
      <c r="G49">
        <f t="shared" ca="1" si="2"/>
        <v>543</v>
      </c>
      <c r="H49">
        <f t="shared" ca="1" si="3"/>
        <v>362</v>
      </c>
      <c r="I49" t="str">
        <f t="shared" si="0"/>
        <v>Apr</v>
      </c>
      <c r="J49">
        <f>YEAR(SalesData[[#This Row],[Date]])</f>
        <v>2024</v>
      </c>
    </row>
    <row r="50" spans="1:10" x14ac:dyDescent="0.25">
      <c r="A50">
        <v>1050</v>
      </c>
      <c r="B50" s="1">
        <v>45399</v>
      </c>
      <c r="C50" t="s">
        <v>7</v>
      </c>
      <c r="D50" t="s">
        <v>12</v>
      </c>
      <c r="E50" t="s">
        <v>22</v>
      </c>
      <c r="F50">
        <f t="shared" ca="1" si="1"/>
        <v>1465</v>
      </c>
      <c r="G50">
        <f t="shared" ca="1" si="2"/>
        <v>1172</v>
      </c>
      <c r="H50">
        <f t="shared" ca="1" si="3"/>
        <v>293</v>
      </c>
      <c r="I50" t="str">
        <f t="shared" si="0"/>
        <v>Apr</v>
      </c>
      <c r="J50">
        <f>YEAR(SalesData[[#This Row],[Date]])</f>
        <v>2024</v>
      </c>
    </row>
    <row r="51" spans="1:10" x14ac:dyDescent="0.25">
      <c r="A51">
        <v>1051</v>
      </c>
      <c r="B51" s="1">
        <v>45400</v>
      </c>
      <c r="C51" t="s">
        <v>9</v>
      </c>
      <c r="D51" t="s">
        <v>24</v>
      </c>
      <c r="E51" t="s">
        <v>23</v>
      </c>
      <c r="F51">
        <f t="shared" ca="1" si="1"/>
        <v>1057</v>
      </c>
      <c r="G51">
        <f t="shared" ca="1" si="2"/>
        <v>803.32</v>
      </c>
      <c r="H51">
        <f t="shared" ca="1" si="3"/>
        <v>253.67999999999995</v>
      </c>
      <c r="I51" t="str">
        <f t="shared" si="0"/>
        <v>Apr</v>
      </c>
      <c r="J51">
        <f>YEAR(SalesData[[#This Row],[Date]])</f>
        <v>2024</v>
      </c>
    </row>
    <row r="52" spans="1:10" x14ac:dyDescent="0.25">
      <c r="A52">
        <v>1052</v>
      </c>
      <c r="B52" s="1">
        <v>45401</v>
      </c>
      <c r="C52" t="s">
        <v>10</v>
      </c>
      <c r="D52" t="s">
        <v>12</v>
      </c>
      <c r="E52" t="s">
        <v>14</v>
      </c>
      <c r="F52">
        <f t="shared" ca="1" si="1"/>
        <v>553</v>
      </c>
      <c r="G52">
        <f t="shared" ca="1" si="2"/>
        <v>442.4</v>
      </c>
      <c r="H52">
        <f t="shared" ca="1" si="3"/>
        <v>110.60000000000002</v>
      </c>
      <c r="I52" t="str">
        <f t="shared" si="0"/>
        <v>Apr</v>
      </c>
      <c r="J52">
        <f>YEAR(SalesData[[#This Row],[Date]])</f>
        <v>2024</v>
      </c>
    </row>
    <row r="53" spans="1:10" x14ac:dyDescent="0.25">
      <c r="A53">
        <v>1053</v>
      </c>
      <c r="B53" s="1">
        <v>45402</v>
      </c>
      <c r="C53" t="s">
        <v>8</v>
      </c>
      <c r="D53" t="s">
        <v>24</v>
      </c>
      <c r="E53" t="s">
        <v>15</v>
      </c>
      <c r="F53">
        <f t="shared" ca="1" si="1"/>
        <v>1594</v>
      </c>
      <c r="G53">
        <f t="shared" ca="1" si="2"/>
        <v>1004.22</v>
      </c>
      <c r="H53">
        <f t="shared" ca="1" si="3"/>
        <v>589.78</v>
      </c>
      <c r="I53" t="str">
        <f t="shared" si="0"/>
        <v>Apr</v>
      </c>
      <c r="J53">
        <f>YEAR(SalesData[[#This Row],[Date]])</f>
        <v>2024</v>
      </c>
    </row>
    <row r="54" spans="1:10" x14ac:dyDescent="0.25">
      <c r="A54">
        <v>1054</v>
      </c>
      <c r="B54" s="1">
        <v>45403</v>
      </c>
      <c r="C54" t="s">
        <v>7</v>
      </c>
      <c r="D54" t="s">
        <v>13</v>
      </c>
      <c r="E54" t="s">
        <v>16</v>
      </c>
      <c r="F54">
        <f t="shared" ca="1" si="1"/>
        <v>532</v>
      </c>
      <c r="G54">
        <f t="shared" ca="1" si="2"/>
        <v>281.95999999999998</v>
      </c>
      <c r="H54">
        <f t="shared" ca="1" si="3"/>
        <v>250.04000000000002</v>
      </c>
      <c r="I54" t="str">
        <f t="shared" si="0"/>
        <v>Apr</v>
      </c>
      <c r="J54">
        <f>YEAR(SalesData[[#This Row],[Date]])</f>
        <v>2024</v>
      </c>
    </row>
    <row r="55" spans="1:10" x14ac:dyDescent="0.25">
      <c r="A55">
        <v>1055</v>
      </c>
      <c r="B55" s="1">
        <v>45404</v>
      </c>
      <c r="C55" t="s">
        <v>9</v>
      </c>
      <c r="D55" t="s">
        <v>12</v>
      </c>
      <c r="E55" t="s">
        <v>17</v>
      </c>
      <c r="F55">
        <f t="shared" ca="1" si="1"/>
        <v>1804</v>
      </c>
      <c r="G55">
        <f t="shared" ca="1" si="2"/>
        <v>920.04</v>
      </c>
      <c r="H55">
        <f t="shared" ca="1" si="3"/>
        <v>883.96</v>
      </c>
      <c r="I55" t="str">
        <f t="shared" si="0"/>
        <v>Apr</v>
      </c>
      <c r="J55">
        <f>YEAR(SalesData[[#This Row],[Date]])</f>
        <v>2024</v>
      </c>
    </row>
    <row r="56" spans="1:10" x14ac:dyDescent="0.25">
      <c r="A56">
        <v>1056</v>
      </c>
      <c r="B56" s="1">
        <v>45405</v>
      </c>
      <c r="C56" t="s">
        <v>10</v>
      </c>
      <c r="D56" t="s">
        <v>24</v>
      </c>
      <c r="E56" t="s">
        <v>18</v>
      </c>
      <c r="F56">
        <f t="shared" ca="1" si="1"/>
        <v>487</v>
      </c>
      <c r="G56">
        <f t="shared" ca="1" si="2"/>
        <v>258.11</v>
      </c>
      <c r="H56">
        <f t="shared" ca="1" si="3"/>
        <v>228.89</v>
      </c>
      <c r="I56" t="str">
        <f t="shared" si="0"/>
        <v>Apr</v>
      </c>
      <c r="J56">
        <f>YEAR(SalesData[[#This Row],[Date]])</f>
        <v>2024</v>
      </c>
    </row>
    <row r="57" spans="1:10" x14ac:dyDescent="0.25">
      <c r="A57">
        <v>1057</v>
      </c>
      <c r="B57" s="1">
        <v>45406</v>
      </c>
      <c r="C57" t="s">
        <v>8</v>
      </c>
      <c r="D57" t="s">
        <v>12</v>
      </c>
      <c r="E57" t="s">
        <v>19</v>
      </c>
      <c r="F57">
        <f t="shared" ca="1" si="1"/>
        <v>1464</v>
      </c>
      <c r="G57">
        <f t="shared" ca="1" si="2"/>
        <v>1112.6400000000001</v>
      </c>
      <c r="H57">
        <f t="shared" ca="1" si="3"/>
        <v>351.3599999999999</v>
      </c>
      <c r="I57" t="str">
        <f t="shared" si="0"/>
        <v>Apr</v>
      </c>
      <c r="J57">
        <f>YEAR(SalesData[[#This Row],[Date]])</f>
        <v>2024</v>
      </c>
    </row>
    <row r="58" spans="1:10" x14ac:dyDescent="0.25">
      <c r="A58">
        <v>1058</v>
      </c>
      <c r="B58" s="1">
        <v>45407</v>
      </c>
      <c r="C58" t="s">
        <v>7</v>
      </c>
      <c r="D58" t="s">
        <v>24</v>
      </c>
      <c r="E58" t="s">
        <v>20</v>
      </c>
      <c r="F58">
        <f t="shared" ca="1" si="1"/>
        <v>1977</v>
      </c>
      <c r="G58">
        <f t="shared" ca="1" si="2"/>
        <v>1028.04</v>
      </c>
      <c r="H58">
        <f t="shared" ca="1" si="3"/>
        <v>948.96</v>
      </c>
      <c r="I58" t="str">
        <f t="shared" si="0"/>
        <v>Apr</v>
      </c>
      <c r="J58">
        <f>YEAR(SalesData[[#This Row],[Date]])</f>
        <v>2024</v>
      </c>
    </row>
    <row r="59" spans="1:10" x14ac:dyDescent="0.25">
      <c r="A59">
        <v>1059</v>
      </c>
      <c r="B59" s="1">
        <v>45408</v>
      </c>
      <c r="C59" t="s">
        <v>9</v>
      </c>
      <c r="D59" t="s">
        <v>13</v>
      </c>
      <c r="E59" t="s">
        <v>21</v>
      </c>
      <c r="F59">
        <f t="shared" ca="1" si="1"/>
        <v>444</v>
      </c>
      <c r="G59">
        <f t="shared" ca="1" si="2"/>
        <v>226.44</v>
      </c>
      <c r="H59">
        <f t="shared" ca="1" si="3"/>
        <v>217.56</v>
      </c>
      <c r="I59" t="str">
        <f t="shared" si="0"/>
        <v>Apr</v>
      </c>
      <c r="J59">
        <f>YEAR(SalesData[[#This Row],[Date]])</f>
        <v>2024</v>
      </c>
    </row>
    <row r="60" spans="1:10" x14ac:dyDescent="0.25">
      <c r="A60">
        <v>1060</v>
      </c>
      <c r="B60" s="1">
        <v>45409</v>
      </c>
      <c r="C60" t="s">
        <v>10</v>
      </c>
      <c r="D60" t="s">
        <v>12</v>
      </c>
      <c r="E60" t="s">
        <v>22</v>
      </c>
      <c r="F60">
        <f t="shared" ca="1" si="1"/>
        <v>657</v>
      </c>
      <c r="G60">
        <f t="shared" ca="1" si="2"/>
        <v>466.47</v>
      </c>
      <c r="H60">
        <f t="shared" ca="1" si="3"/>
        <v>190.52999999999997</v>
      </c>
      <c r="I60" t="str">
        <f t="shared" si="0"/>
        <v>Apr</v>
      </c>
      <c r="J60">
        <f>YEAR(SalesData[[#This Row],[Date]])</f>
        <v>2024</v>
      </c>
    </row>
    <row r="61" spans="1:10" x14ac:dyDescent="0.25">
      <c r="A61">
        <v>1061</v>
      </c>
      <c r="B61" s="1">
        <v>45410</v>
      </c>
      <c r="C61" t="s">
        <v>8</v>
      </c>
      <c r="D61" t="s">
        <v>24</v>
      </c>
      <c r="E61" t="s">
        <v>23</v>
      </c>
      <c r="F61">
        <f t="shared" ca="1" si="1"/>
        <v>1175</v>
      </c>
      <c r="G61">
        <f t="shared" ca="1" si="2"/>
        <v>799</v>
      </c>
      <c r="H61">
        <f t="shared" ca="1" si="3"/>
        <v>376</v>
      </c>
      <c r="I61" t="str">
        <f t="shared" si="0"/>
        <v>Apr</v>
      </c>
      <c r="J61">
        <f>YEAR(SalesData[[#This Row],[Date]])</f>
        <v>2024</v>
      </c>
    </row>
    <row r="62" spans="1:10" x14ac:dyDescent="0.25">
      <c r="A62">
        <v>1062</v>
      </c>
      <c r="B62" s="1">
        <v>45411</v>
      </c>
      <c r="C62" t="s">
        <v>7</v>
      </c>
      <c r="D62" t="s">
        <v>12</v>
      </c>
      <c r="E62" t="s">
        <v>14</v>
      </c>
      <c r="F62">
        <f t="shared" ca="1" si="1"/>
        <v>533</v>
      </c>
      <c r="G62">
        <f t="shared" ca="1" si="2"/>
        <v>266.5</v>
      </c>
      <c r="H62">
        <f t="shared" ca="1" si="3"/>
        <v>266.5</v>
      </c>
      <c r="I62" t="str">
        <f t="shared" si="0"/>
        <v>Apr</v>
      </c>
      <c r="J62">
        <f>YEAR(SalesData[[#This Row],[Date]])</f>
        <v>2024</v>
      </c>
    </row>
    <row r="63" spans="1:10" x14ac:dyDescent="0.25">
      <c r="A63">
        <v>1063</v>
      </c>
      <c r="B63" s="1">
        <v>45412</v>
      </c>
      <c r="C63" t="s">
        <v>9</v>
      </c>
      <c r="D63" t="s">
        <v>24</v>
      </c>
      <c r="E63" t="s">
        <v>15</v>
      </c>
      <c r="F63">
        <f t="shared" ca="1" si="1"/>
        <v>1426</v>
      </c>
      <c r="G63">
        <f t="shared" ca="1" si="2"/>
        <v>912.64</v>
      </c>
      <c r="H63">
        <f t="shared" ca="1" si="3"/>
        <v>513.36</v>
      </c>
      <c r="I63" t="str">
        <f t="shared" si="0"/>
        <v>Apr</v>
      </c>
      <c r="J63">
        <f>YEAR(SalesData[[#This Row],[Date]])</f>
        <v>2024</v>
      </c>
    </row>
    <row r="64" spans="1:10" x14ac:dyDescent="0.25">
      <c r="A64">
        <v>1064</v>
      </c>
      <c r="B64" s="1">
        <v>45413</v>
      </c>
      <c r="C64" t="s">
        <v>10</v>
      </c>
      <c r="D64" t="s">
        <v>13</v>
      </c>
      <c r="E64" t="s">
        <v>16</v>
      </c>
      <c r="F64">
        <f t="shared" ca="1" si="1"/>
        <v>1064</v>
      </c>
      <c r="G64">
        <f t="shared" ca="1" si="2"/>
        <v>808.64</v>
      </c>
      <c r="H64">
        <f t="shared" ca="1" si="3"/>
        <v>255.36</v>
      </c>
      <c r="I64" t="str">
        <f t="shared" si="0"/>
        <v>May</v>
      </c>
      <c r="J64">
        <f>YEAR(SalesData[[#This Row],[Date]])</f>
        <v>2024</v>
      </c>
    </row>
    <row r="65" spans="1:10" x14ac:dyDescent="0.25">
      <c r="A65">
        <v>1065</v>
      </c>
      <c r="B65" s="1">
        <v>45414</v>
      </c>
      <c r="C65" t="s">
        <v>8</v>
      </c>
      <c r="D65" t="s">
        <v>12</v>
      </c>
      <c r="E65" t="s">
        <v>17</v>
      </c>
      <c r="F65">
        <f t="shared" ca="1" si="1"/>
        <v>1537</v>
      </c>
      <c r="G65">
        <f t="shared" ca="1" si="2"/>
        <v>845.35</v>
      </c>
      <c r="H65">
        <f t="shared" ca="1" si="3"/>
        <v>691.65</v>
      </c>
      <c r="I65" t="str">
        <f t="shared" si="0"/>
        <v>May</v>
      </c>
      <c r="J65">
        <f>YEAR(SalesData[[#This Row],[Date]])</f>
        <v>2024</v>
      </c>
    </row>
    <row r="66" spans="1:10" x14ac:dyDescent="0.25">
      <c r="A66">
        <v>1066</v>
      </c>
      <c r="B66" s="1">
        <v>45415</v>
      </c>
      <c r="C66" t="s">
        <v>7</v>
      </c>
      <c r="D66" t="s">
        <v>24</v>
      </c>
      <c r="E66" t="s">
        <v>18</v>
      </c>
      <c r="F66">
        <f t="shared" ca="1" si="1"/>
        <v>1804</v>
      </c>
      <c r="G66">
        <f t="shared" ca="1" si="2"/>
        <v>1046.32</v>
      </c>
      <c r="H66">
        <f t="shared" ca="1" si="3"/>
        <v>757.68000000000006</v>
      </c>
      <c r="I66" t="str">
        <f t="shared" ref="I66:I129" si="4">TEXT(B66,"mmm")</f>
        <v>May</v>
      </c>
      <c r="J66">
        <f>YEAR(SalesData[[#This Row],[Date]])</f>
        <v>2024</v>
      </c>
    </row>
    <row r="67" spans="1:10" x14ac:dyDescent="0.25">
      <c r="A67">
        <v>1067</v>
      </c>
      <c r="B67" s="1">
        <v>45416</v>
      </c>
      <c r="C67" t="s">
        <v>9</v>
      </c>
      <c r="D67" t="s">
        <v>12</v>
      </c>
      <c r="E67" t="s">
        <v>19</v>
      </c>
      <c r="F67">
        <f t="shared" ref="F67:F130" ca="1" si="5">RANDBETWEEN(300,2000)</f>
        <v>1165</v>
      </c>
      <c r="G67">
        <f t="shared" ref="G67:G130" ca="1" si="6">F67*RANDBETWEEN(50,80)/100</f>
        <v>640.75</v>
      </c>
      <c r="H67">
        <f t="shared" ref="H67:H130" ca="1" si="7">F67-G67</f>
        <v>524.25</v>
      </c>
      <c r="I67" t="str">
        <f t="shared" si="4"/>
        <v>May</v>
      </c>
      <c r="J67">
        <f>YEAR(SalesData[[#This Row],[Date]])</f>
        <v>2024</v>
      </c>
    </row>
    <row r="68" spans="1:10" x14ac:dyDescent="0.25">
      <c r="A68">
        <v>1068</v>
      </c>
      <c r="B68" s="1">
        <v>45417</v>
      </c>
      <c r="C68" t="s">
        <v>10</v>
      </c>
      <c r="D68" t="s">
        <v>24</v>
      </c>
      <c r="E68" t="s">
        <v>20</v>
      </c>
      <c r="F68">
        <f t="shared" ca="1" si="5"/>
        <v>1962</v>
      </c>
      <c r="G68">
        <f t="shared" ca="1" si="6"/>
        <v>1177.2</v>
      </c>
      <c r="H68">
        <f t="shared" ca="1" si="7"/>
        <v>784.8</v>
      </c>
      <c r="I68" t="str">
        <f t="shared" si="4"/>
        <v>May</v>
      </c>
      <c r="J68">
        <f>YEAR(SalesData[[#This Row],[Date]])</f>
        <v>2024</v>
      </c>
    </row>
    <row r="69" spans="1:10" x14ac:dyDescent="0.25">
      <c r="A69">
        <v>1069</v>
      </c>
      <c r="B69" s="1">
        <v>45418</v>
      </c>
      <c r="C69" t="s">
        <v>8</v>
      </c>
      <c r="D69" t="s">
        <v>13</v>
      </c>
      <c r="E69" t="s">
        <v>21</v>
      </c>
      <c r="F69">
        <f t="shared" ca="1" si="5"/>
        <v>1045</v>
      </c>
      <c r="G69">
        <f t="shared" ca="1" si="6"/>
        <v>647.9</v>
      </c>
      <c r="H69">
        <f t="shared" ca="1" si="7"/>
        <v>397.1</v>
      </c>
      <c r="I69" t="str">
        <f t="shared" si="4"/>
        <v>May</v>
      </c>
      <c r="J69">
        <f>YEAR(SalesData[[#This Row],[Date]])</f>
        <v>2024</v>
      </c>
    </row>
    <row r="70" spans="1:10" x14ac:dyDescent="0.25">
      <c r="A70">
        <v>1070</v>
      </c>
      <c r="B70" s="1">
        <v>45419</v>
      </c>
      <c r="C70" t="s">
        <v>7</v>
      </c>
      <c r="D70" t="s">
        <v>12</v>
      </c>
      <c r="E70" t="s">
        <v>22</v>
      </c>
      <c r="F70">
        <f t="shared" ca="1" si="5"/>
        <v>555</v>
      </c>
      <c r="G70">
        <f t="shared" ca="1" si="6"/>
        <v>355.2</v>
      </c>
      <c r="H70">
        <f t="shared" ca="1" si="7"/>
        <v>199.8</v>
      </c>
      <c r="I70" t="str">
        <f t="shared" si="4"/>
        <v>May</v>
      </c>
      <c r="J70">
        <f>YEAR(SalesData[[#This Row],[Date]])</f>
        <v>2024</v>
      </c>
    </row>
    <row r="71" spans="1:10" x14ac:dyDescent="0.25">
      <c r="A71">
        <v>1071</v>
      </c>
      <c r="B71" s="1">
        <v>45420</v>
      </c>
      <c r="C71" t="s">
        <v>9</v>
      </c>
      <c r="D71" t="s">
        <v>24</v>
      </c>
      <c r="E71" t="s">
        <v>23</v>
      </c>
      <c r="F71">
        <f t="shared" ca="1" si="5"/>
        <v>407</v>
      </c>
      <c r="G71">
        <f t="shared" ca="1" si="6"/>
        <v>305.25</v>
      </c>
      <c r="H71">
        <f t="shared" ca="1" si="7"/>
        <v>101.75</v>
      </c>
      <c r="I71" t="str">
        <f t="shared" si="4"/>
        <v>May</v>
      </c>
      <c r="J71">
        <f>YEAR(SalesData[[#This Row],[Date]])</f>
        <v>2024</v>
      </c>
    </row>
    <row r="72" spans="1:10" x14ac:dyDescent="0.25">
      <c r="A72">
        <v>1072</v>
      </c>
      <c r="B72" s="1">
        <v>45421</v>
      </c>
      <c r="C72" t="s">
        <v>10</v>
      </c>
      <c r="D72" t="s">
        <v>12</v>
      </c>
      <c r="E72" t="s">
        <v>14</v>
      </c>
      <c r="F72">
        <f t="shared" ca="1" si="5"/>
        <v>1348</v>
      </c>
      <c r="G72">
        <f t="shared" ca="1" si="6"/>
        <v>889.68</v>
      </c>
      <c r="H72">
        <f t="shared" ca="1" si="7"/>
        <v>458.32000000000005</v>
      </c>
      <c r="I72" t="str">
        <f t="shared" si="4"/>
        <v>May</v>
      </c>
      <c r="J72">
        <f>YEAR(SalesData[[#This Row],[Date]])</f>
        <v>2024</v>
      </c>
    </row>
    <row r="73" spans="1:10" x14ac:dyDescent="0.25">
      <c r="A73">
        <v>1073</v>
      </c>
      <c r="B73" s="1">
        <v>45422</v>
      </c>
      <c r="C73" t="s">
        <v>8</v>
      </c>
      <c r="D73" t="s">
        <v>24</v>
      </c>
      <c r="E73" t="s">
        <v>15</v>
      </c>
      <c r="F73">
        <f t="shared" ca="1" si="5"/>
        <v>337</v>
      </c>
      <c r="G73">
        <f t="shared" ca="1" si="6"/>
        <v>239.27</v>
      </c>
      <c r="H73">
        <f t="shared" ca="1" si="7"/>
        <v>97.72999999999999</v>
      </c>
      <c r="I73" t="str">
        <f t="shared" si="4"/>
        <v>May</v>
      </c>
      <c r="J73">
        <f>YEAR(SalesData[[#This Row],[Date]])</f>
        <v>2024</v>
      </c>
    </row>
    <row r="74" spans="1:10" x14ac:dyDescent="0.25">
      <c r="A74">
        <v>1074</v>
      </c>
      <c r="B74" s="1">
        <v>45423</v>
      </c>
      <c r="C74" t="s">
        <v>7</v>
      </c>
      <c r="D74" t="s">
        <v>13</v>
      </c>
      <c r="E74" t="s">
        <v>16</v>
      </c>
      <c r="F74">
        <f t="shared" ca="1" si="5"/>
        <v>1773</v>
      </c>
      <c r="G74">
        <f t="shared" ca="1" si="6"/>
        <v>1347.48</v>
      </c>
      <c r="H74">
        <f t="shared" ca="1" si="7"/>
        <v>425.52</v>
      </c>
      <c r="I74" t="str">
        <f t="shared" si="4"/>
        <v>May</v>
      </c>
      <c r="J74">
        <f>YEAR(SalesData[[#This Row],[Date]])</f>
        <v>2024</v>
      </c>
    </row>
    <row r="75" spans="1:10" x14ac:dyDescent="0.25">
      <c r="A75">
        <v>1075</v>
      </c>
      <c r="B75" s="1">
        <v>45424</v>
      </c>
      <c r="C75" t="s">
        <v>9</v>
      </c>
      <c r="D75" t="s">
        <v>12</v>
      </c>
      <c r="E75" t="s">
        <v>17</v>
      </c>
      <c r="F75">
        <f t="shared" ca="1" si="5"/>
        <v>1475</v>
      </c>
      <c r="G75">
        <f t="shared" ca="1" si="6"/>
        <v>973.5</v>
      </c>
      <c r="H75">
        <f t="shared" ca="1" si="7"/>
        <v>501.5</v>
      </c>
      <c r="I75" t="str">
        <f t="shared" si="4"/>
        <v>May</v>
      </c>
      <c r="J75">
        <f>YEAR(SalesData[[#This Row],[Date]])</f>
        <v>2024</v>
      </c>
    </row>
    <row r="76" spans="1:10" x14ac:dyDescent="0.25">
      <c r="A76">
        <v>1076</v>
      </c>
      <c r="B76" s="1">
        <v>45425</v>
      </c>
      <c r="C76" t="s">
        <v>10</v>
      </c>
      <c r="D76" t="s">
        <v>24</v>
      </c>
      <c r="E76" t="s">
        <v>18</v>
      </c>
      <c r="F76">
        <f t="shared" ca="1" si="5"/>
        <v>1108</v>
      </c>
      <c r="G76">
        <f t="shared" ca="1" si="6"/>
        <v>698.04</v>
      </c>
      <c r="H76">
        <f t="shared" ca="1" si="7"/>
        <v>409.96000000000004</v>
      </c>
      <c r="I76" t="str">
        <f t="shared" si="4"/>
        <v>May</v>
      </c>
      <c r="J76">
        <f>YEAR(SalesData[[#This Row],[Date]])</f>
        <v>2024</v>
      </c>
    </row>
    <row r="77" spans="1:10" x14ac:dyDescent="0.25">
      <c r="A77">
        <v>1077</v>
      </c>
      <c r="B77" s="1">
        <v>45426</v>
      </c>
      <c r="C77" t="s">
        <v>8</v>
      </c>
      <c r="D77" t="s">
        <v>12</v>
      </c>
      <c r="E77" t="s">
        <v>19</v>
      </c>
      <c r="F77">
        <f t="shared" ca="1" si="5"/>
        <v>1229</v>
      </c>
      <c r="G77">
        <f t="shared" ca="1" si="6"/>
        <v>725.11</v>
      </c>
      <c r="H77">
        <f t="shared" ca="1" si="7"/>
        <v>503.89</v>
      </c>
      <c r="I77" t="str">
        <f t="shared" si="4"/>
        <v>May</v>
      </c>
      <c r="J77">
        <f>YEAR(SalesData[[#This Row],[Date]])</f>
        <v>2024</v>
      </c>
    </row>
    <row r="78" spans="1:10" x14ac:dyDescent="0.25">
      <c r="A78">
        <v>1078</v>
      </c>
      <c r="B78" s="1">
        <v>45427</v>
      </c>
      <c r="C78" t="s">
        <v>7</v>
      </c>
      <c r="D78" t="s">
        <v>24</v>
      </c>
      <c r="E78" t="s">
        <v>20</v>
      </c>
      <c r="F78">
        <f t="shared" ca="1" si="5"/>
        <v>1331</v>
      </c>
      <c r="G78">
        <f t="shared" ca="1" si="6"/>
        <v>878.46</v>
      </c>
      <c r="H78">
        <f t="shared" ca="1" si="7"/>
        <v>452.53999999999996</v>
      </c>
      <c r="I78" t="str">
        <f t="shared" si="4"/>
        <v>May</v>
      </c>
      <c r="J78">
        <f>YEAR(SalesData[[#This Row],[Date]])</f>
        <v>2024</v>
      </c>
    </row>
    <row r="79" spans="1:10" x14ac:dyDescent="0.25">
      <c r="A79">
        <v>1079</v>
      </c>
      <c r="B79" s="1">
        <v>45428</v>
      </c>
      <c r="C79" t="s">
        <v>9</v>
      </c>
      <c r="D79" t="s">
        <v>13</v>
      </c>
      <c r="E79" t="s">
        <v>21</v>
      </c>
      <c r="F79">
        <f t="shared" ca="1" si="5"/>
        <v>950</v>
      </c>
      <c r="G79">
        <f t="shared" ca="1" si="6"/>
        <v>598.5</v>
      </c>
      <c r="H79">
        <f t="shared" ca="1" si="7"/>
        <v>351.5</v>
      </c>
      <c r="I79" t="str">
        <f t="shared" si="4"/>
        <v>May</v>
      </c>
      <c r="J79">
        <f>YEAR(SalesData[[#This Row],[Date]])</f>
        <v>2024</v>
      </c>
    </row>
    <row r="80" spans="1:10" x14ac:dyDescent="0.25">
      <c r="A80">
        <v>1080</v>
      </c>
      <c r="B80" s="1">
        <v>45429</v>
      </c>
      <c r="C80" t="s">
        <v>10</v>
      </c>
      <c r="D80" t="s">
        <v>12</v>
      </c>
      <c r="E80" t="s">
        <v>22</v>
      </c>
      <c r="F80">
        <f t="shared" ca="1" si="5"/>
        <v>1326</v>
      </c>
      <c r="G80">
        <f t="shared" ca="1" si="6"/>
        <v>716.04</v>
      </c>
      <c r="H80">
        <f t="shared" ca="1" si="7"/>
        <v>609.96</v>
      </c>
      <c r="I80" t="str">
        <f t="shared" si="4"/>
        <v>May</v>
      </c>
      <c r="J80">
        <f>YEAR(SalesData[[#This Row],[Date]])</f>
        <v>2024</v>
      </c>
    </row>
    <row r="81" spans="1:10" x14ac:dyDescent="0.25">
      <c r="A81">
        <v>1081</v>
      </c>
      <c r="B81" s="1">
        <v>45430</v>
      </c>
      <c r="C81" t="s">
        <v>8</v>
      </c>
      <c r="D81" t="s">
        <v>24</v>
      </c>
      <c r="E81" t="s">
        <v>23</v>
      </c>
      <c r="F81">
        <f t="shared" ca="1" si="5"/>
        <v>1263</v>
      </c>
      <c r="G81">
        <f t="shared" ca="1" si="6"/>
        <v>947.25</v>
      </c>
      <c r="H81">
        <f t="shared" ca="1" si="7"/>
        <v>315.75</v>
      </c>
      <c r="I81" t="str">
        <f t="shared" si="4"/>
        <v>May</v>
      </c>
      <c r="J81">
        <f>YEAR(SalesData[[#This Row],[Date]])</f>
        <v>2024</v>
      </c>
    </row>
    <row r="82" spans="1:10" x14ac:dyDescent="0.25">
      <c r="A82">
        <v>1082</v>
      </c>
      <c r="B82" s="1">
        <v>45431</v>
      </c>
      <c r="C82" t="s">
        <v>7</v>
      </c>
      <c r="D82" t="s">
        <v>12</v>
      </c>
      <c r="E82" t="s">
        <v>14</v>
      </c>
      <c r="F82">
        <f t="shared" ca="1" si="5"/>
        <v>490</v>
      </c>
      <c r="G82">
        <f t="shared" ca="1" si="6"/>
        <v>338.1</v>
      </c>
      <c r="H82">
        <f t="shared" ca="1" si="7"/>
        <v>151.89999999999998</v>
      </c>
      <c r="I82" t="str">
        <f t="shared" si="4"/>
        <v>May</v>
      </c>
      <c r="J82">
        <f>YEAR(SalesData[[#This Row],[Date]])</f>
        <v>2024</v>
      </c>
    </row>
    <row r="83" spans="1:10" x14ac:dyDescent="0.25">
      <c r="A83">
        <v>1083</v>
      </c>
      <c r="B83" s="1">
        <v>45432</v>
      </c>
      <c r="C83" t="s">
        <v>9</v>
      </c>
      <c r="D83" t="s">
        <v>24</v>
      </c>
      <c r="E83" t="s">
        <v>15</v>
      </c>
      <c r="F83">
        <f t="shared" ca="1" si="5"/>
        <v>1278</v>
      </c>
      <c r="G83">
        <f t="shared" ca="1" si="6"/>
        <v>869.04</v>
      </c>
      <c r="H83">
        <f t="shared" ca="1" si="7"/>
        <v>408.96000000000004</v>
      </c>
      <c r="I83" t="str">
        <f t="shared" si="4"/>
        <v>May</v>
      </c>
      <c r="J83">
        <f>YEAR(SalesData[[#This Row],[Date]])</f>
        <v>2024</v>
      </c>
    </row>
    <row r="84" spans="1:10" x14ac:dyDescent="0.25">
      <c r="A84">
        <v>1084</v>
      </c>
      <c r="B84" s="1">
        <v>45433</v>
      </c>
      <c r="C84" t="s">
        <v>10</v>
      </c>
      <c r="D84" t="s">
        <v>13</v>
      </c>
      <c r="E84" t="s">
        <v>16</v>
      </c>
      <c r="F84">
        <f t="shared" ca="1" si="5"/>
        <v>394</v>
      </c>
      <c r="G84">
        <f t="shared" ca="1" si="6"/>
        <v>279.74</v>
      </c>
      <c r="H84">
        <f t="shared" ca="1" si="7"/>
        <v>114.25999999999999</v>
      </c>
      <c r="I84" t="str">
        <f t="shared" si="4"/>
        <v>May</v>
      </c>
      <c r="J84">
        <f>YEAR(SalesData[[#This Row],[Date]])</f>
        <v>2024</v>
      </c>
    </row>
    <row r="85" spans="1:10" x14ac:dyDescent="0.25">
      <c r="A85">
        <v>1085</v>
      </c>
      <c r="B85" s="1">
        <v>45434</v>
      </c>
      <c r="C85" t="s">
        <v>8</v>
      </c>
      <c r="D85" t="s">
        <v>12</v>
      </c>
      <c r="E85" t="s">
        <v>17</v>
      </c>
      <c r="F85">
        <f t="shared" ca="1" si="5"/>
        <v>1415</v>
      </c>
      <c r="G85">
        <f t="shared" ca="1" si="6"/>
        <v>1047.0999999999999</v>
      </c>
      <c r="H85">
        <f t="shared" ca="1" si="7"/>
        <v>367.90000000000009</v>
      </c>
      <c r="I85" t="str">
        <f t="shared" si="4"/>
        <v>May</v>
      </c>
      <c r="J85">
        <f>YEAR(SalesData[[#This Row],[Date]])</f>
        <v>2024</v>
      </c>
    </row>
    <row r="86" spans="1:10" x14ac:dyDescent="0.25">
      <c r="A86">
        <v>1086</v>
      </c>
      <c r="B86" s="1">
        <v>45435</v>
      </c>
      <c r="C86" t="s">
        <v>7</v>
      </c>
      <c r="D86" t="s">
        <v>24</v>
      </c>
      <c r="E86" t="s">
        <v>18</v>
      </c>
      <c r="F86">
        <f t="shared" ca="1" si="5"/>
        <v>400</v>
      </c>
      <c r="G86">
        <f t="shared" ca="1" si="6"/>
        <v>248</v>
      </c>
      <c r="H86">
        <f t="shared" ca="1" si="7"/>
        <v>152</v>
      </c>
      <c r="I86" t="str">
        <f t="shared" si="4"/>
        <v>May</v>
      </c>
      <c r="J86">
        <f>YEAR(SalesData[[#This Row],[Date]])</f>
        <v>2024</v>
      </c>
    </row>
    <row r="87" spans="1:10" x14ac:dyDescent="0.25">
      <c r="A87">
        <v>1087</v>
      </c>
      <c r="B87" s="1">
        <v>45436</v>
      </c>
      <c r="C87" t="s">
        <v>9</v>
      </c>
      <c r="D87" t="s">
        <v>12</v>
      </c>
      <c r="E87" t="s">
        <v>19</v>
      </c>
      <c r="F87">
        <f t="shared" ca="1" si="5"/>
        <v>409</v>
      </c>
      <c r="G87">
        <f t="shared" ca="1" si="6"/>
        <v>249.49</v>
      </c>
      <c r="H87">
        <f t="shared" ca="1" si="7"/>
        <v>159.51</v>
      </c>
      <c r="I87" t="str">
        <f t="shared" si="4"/>
        <v>May</v>
      </c>
      <c r="J87">
        <f>YEAR(SalesData[[#This Row],[Date]])</f>
        <v>2024</v>
      </c>
    </row>
    <row r="88" spans="1:10" x14ac:dyDescent="0.25">
      <c r="A88">
        <v>1088</v>
      </c>
      <c r="B88" s="1">
        <v>45437</v>
      </c>
      <c r="C88" t="s">
        <v>10</v>
      </c>
      <c r="D88" t="s">
        <v>24</v>
      </c>
      <c r="E88" t="s">
        <v>20</v>
      </c>
      <c r="F88">
        <f t="shared" ca="1" si="5"/>
        <v>1488</v>
      </c>
      <c r="G88">
        <f t="shared" ca="1" si="6"/>
        <v>1026.72</v>
      </c>
      <c r="H88">
        <f t="shared" ca="1" si="7"/>
        <v>461.28</v>
      </c>
      <c r="I88" t="str">
        <f t="shared" si="4"/>
        <v>May</v>
      </c>
      <c r="J88">
        <f>YEAR(SalesData[[#This Row],[Date]])</f>
        <v>2024</v>
      </c>
    </row>
    <row r="89" spans="1:10" x14ac:dyDescent="0.25">
      <c r="A89">
        <v>1089</v>
      </c>
      <c r="B89" s="1">
        <v>45438</v>
      </c>
      <c r="C89" t="s">
        <v>8</v>
      </c>
      <c r="D89" t="s">
        <v>13</v>
      </c>
      <c r="E89" t="s">
        <v>21</v>
      </c>
      <c r="F89">
        <f t="shared" ca="1" si="5"/>
        <v>1052</v>
      </c>
      <c r="G89">
        <f t="shared" ca="1" si="6"/>
        <v>557.55999999999995</v>
      </c>
      <c r="H89">
        <f t="shared" ca="1" si="7"/>
        <v>494.44000000000005</v>
      </c>
      <c r="I89" t="str">
        <f t="shared" si="4"/>
        <v>May</v>
      </c>
      <c r="J89">
        <f>YEAR(SalesData[[#This Row],[Date]])</f>
        <v>2024</v>
      </c>
    </row>
    <row r="90" spans="1:10" x14ac:dyDescent="0.25">
      <c r="A90">
        <v>1090</v>
      </c>
      <c r="B90" s="1">
        <v>45439</v>
      </c>
      <c r="C90" t="s">
        <v>7</v>
      </c>
      <c r="D90" t="s">
        <v>12</v>
      </c>
      <c r="E90" t="s">
        <v>22</v>
      </c>
      <c r="F90">
        <f t="shared" ca="1" si="5"/>
        <v>900</v>
      </c>
      <c r="G90">
        <f t="shared" ca="1" si="6"/>
        <v>549</v>
      </c>
      <c r="H90">
        <f t="shared" ca="1" si="7"/>
        <v>351</v>
      </c>
      <c r="I90" t="str">
        <f t="shared" si="4"/>
        <v>May</v>
      </c>
      <c r="J90">
        <f>YEAR(SalesData[[#This Row],[Date]])</f>
        <v>2024</v>
      </c>
    </row>
    <row r="91" spans="1:10" x14ac:dyDescent="0.25">
      <c r="A91">
        <v>1091</v>
      </c>
      <c r="B91" s="1">
        <v>45440</v>
      </c>
      <c r="C91" t="s">
        <v>9</v>
      </c>
      <c r="D91" t="s">
        <v>24</v>
      </c>
      <c r="E91" t="s">
        <v>23</v>
      </c>
      <c r="F91">
        <f t="shared" ca="1" si="5"/>
        <v>1238</v>
      </c>
      <c r="G91">
        <f t="shared" ca="1" si="6"/>
        <v>829.46</v>
      </c>
      <c r="H91">
        <f t="shared" ca="1" si="7"/>
        <v>408.53999999999996</v>
      </c>
      <c r="I91" t="str">
        <f t="shared" si="4"/>
        <v>May</v>
      </c>
      <c r="J91">
        <f>YEAR(SalesData[[#This Row],[Date]])</f>
        <v>2024</v>
      </c>
    </row>
    <row r="92" spans="1:10" x14ac:dyDescent="0.25">
      <c r="A92">
        <v>1092</v>
      </c>
      <c r="B92" s="1">
        <v>45441</v>
      </c>
      <c r="C92" t="s">
        <v>10</v>
      </c>
      <c r="D92" t="s">
        <v>12</v>
      </c>
      <c r="E92" t="s">
        <v>14</v>
      </c>
      <c r="F92">
        <f t="shared" ca="1" si="5"/>
        <v>828</v>
      </c>
      <c r="G92">
        <f t="shared" ca="1" si="6"/>
        <v>430.56</v>
      </c>
      <c r="H92">
        <f t="shared" ca="1" si="7"/>
        <v>397.44</v>
      </c>
      <c r="I92" t="str">
        <f t="shared" si="4"/>
        <v>May</v>
      </c>
      <c r="J92">
        <f>YEAR(SalesData[[#This Row],[Date]])</f>
        <v>2024</v>
      </c>
    </row>
    <row r="93" spans="1:10" x14ac:dyDescent="0.25">
      <c r="A93">
        <v>1093</v>
      </c>
      <c r="B93" s="1">
        <v>45442</v>
      </c>
      <c r="C93" t="s">
        <v>8</v>
      </c>
      <c r="D93" t="s">
        <v>24</v>
      </c>
      <c r="E93" t="s">
        <v>15</v>
      </c>
      <c r="F93">
        <f t="shared" ca="1" si="5"/>
        <v>1858</v>
      </c>
      <c r="G93">
        <f t="shared" ca="1" si="6"/>
        <v>1486.4</v>
      </c>
      <c r="H93">
        <f t="shared" ca="1" si="7"/>
        <v>371.59999999999991</v>
      </c>
      <c r="I93" t="str">
        <f t="shared" si="4"/>
        <v>May</v>
      </c>
      <c r="J93">
        <f>YEAR(SalesData[[#This Row],[Date]])</f>
        <v>2024</v>
      </c>
    </row>
    <row r="94" spans="1:10" x14ac:dyDescent="0.25">
      <c r="A94">
        <v>1094</v>
      </c>
      <c r="B94" s="1">
        <v>45443</v>
      </c>
      <c r="C94" t="s">
        <v>7</v>
      </c>
      <c r="D94" t="s">
        <v>13</v>
      </c>
      <c r="E94" t="s">
        <v>16</v>
      </c>
      <c r="F94">
        <f t="shared" ca="1" si="5"/>
        <v>1061</v>
      </c>
      <c r="G94">
        <f t="shared" ca="1" si="6"/>
        <v>816.97</v>
      </c>
      <c r="H94">
        <f t="shared" ca="1" si="7"/>
        <v>244.02999999999997</v>
      </c>
      <c r="I94" t="str">
        <f t="shared" si="4"/>
        <v>May</v>
      </c>
      <c r="J94">
        <f>YEAR(SalesData[[#This Row],[Date]])</f>
        <v>2024</v>
      </c>
    </row>
    <row r="95" spans="1:10" x14ac:dyDescent="0.25">
      <c r="A95">
        <v>1095</v>
      </c>
      <c r="B95" s="1">
        <v>45444</v>
      </c>
      <c r="C95" t="s">
        <v>9</v>
      </c>
      <c r="D95" t="s">
        <v>12</v>
      </c>
      <c r="E95" t="s">
        <v>17</v>
      </c>
      <c r="F95">
        <f t="shared" ca="1" si="5"/>
        <v>1441</v>
      </c>
      <c r="G95">
        <f t="shared" ca="1" si="6"/>
        <v>922.24</v>
      </c>
      <c r="H95">
        <f t="shared" ca="1" si="7"/>
        <v>518.76</v>
      </c>
      <c r="I95" t="str">
        <f t="shared" si="4"/>
        <v>Jun</v>
      </c>
      <c r="J95">
        <f>YEAR(SalesData[[#This Row],[Date]])</f>
        <v>2024</v>
      </c>
    </row>
    <row r="96" spans="1:10" x14ac:dyDescent="0.25">
      <c r="A96">
        <v>1096</v>
      </c>
      <c r="B96" s="1">
        <v>45445</v>
      </c>
      <c r="C96" t="s">
        <v>10</v>
      </c>
      <c r="D96" t="s">
        <v>24</v>
      </c>
      <c r="E96" t="s">
        <v>18</v>
      </c>
      <c r="F96">
        <f t="shared" ca="1" si="5"/>
        <v>1814</v>
      </c>
      <c r="G96">
        <f t="shared" ca="1" si="6"/>
        <v>1269.8</v>
      </c>
      <c r="H96">
        <f t="shared" ca="1" si="7"/>
        <v>544.20000000000005</v>
      </c>
      <c r="I96" t="str">
        <f t="shared" si="4"/>
        <v>Jun</v>
      </c>
      <c r="J96">
        <f>YEAR(SalesData[[#This Row],[Date]])</f>
        <v>2024</v>
      </c>
    </row>
    <row r="97" spans="1:10" x14ac:dyDescent="0.25">
      <c r="A97">
        <v>1097</v>
      </c>
      <c r="B97" s="1">
        <v>45446</v>
      </c>
      <c r="C97" t="s">
        <v>8</v>
      </c>
      <c r="D97" t="s">
        <v>12</v>
      </c>
      <c r="E97" t="s">
        <v>19</v>
      </c>
      <c r="F97">
        <f t="shared" ca="1" si="5"/>
        <v>1446</v>
      </c>
      <c r="G97">
        <f t="shared" ca="1" si="6"/>
        <v>1070.04</v>
      </c>
      <c r="H97">
        <f t="shared" ca="1" si="7"/>
        <v>375.96000000000004</v>
      </c>
      <c r="I97" t="str">
        <f t="shared" si="4"/>
        <v>Jun</v>
      </c>
      <c r="J97">
        <f>YEAR(SalesData[[#This Row],[Date]])</f>
        <v>2024</v>
      </c>
    </row>
    <row r="98" spans="1:10" x14ac:dyDescent="0.25">
      <c r="A98">
        <v>1098</v>
      </c>
      <c r="B98" s="1">
        <v>45447</v>
      </c>
      <c r="C98" t="s">
        <v>7</v>
      </c>
      <c r="D98" t="s">
        <v>24</v>
      </c>
      <c r="E98" t="s">
        <v>20</v>
      </c>
      <c r="F98">
        <f t="shared" ca="1" si="5"/>
        <v>726</v>
      </c>
      <c r="G98">
        <f t="shared" ca="1" si="6"/>
        <v>559.02</v>
      </c>
      <c r="H98">
        <f t="shared" ca="1" si="7"/>
        <v>166.98000000000002</v>
      </c>
      <c r="I98" t="str">
        <f t="shared" si="4"/>
        <v>Jun</v>
      </c>
      <c r="J98">
        <f>YEAR(SalesData[[#This Row],[Date]])</f>
        <v>2024</v>
      </c>
    </row>
    <row r="99" spans="1:10" x14ac:dyDescent="0.25">
      <c r="A99">
        <v>1099</v>
      </c>
      <c r="B99" s="1">
        <v>45448</v>
      </c>
      <c r="C99" t="s">
        <v>9</v>
      </c>
      <c r="D99" t="s">
        <v>13</v>
      </c>
      <c r="E99" t="s">
        <v>21</v>
      </c>
      <c r="F99">
        <f t="shared" ca="1" si="5"/>
        <v>1623</v>
      </c>
      <c r="G99">
        <f t="shared" ca="1" si="6"/>
        <v>1298.4000000000001</v>
      </c>
      <c r="H99">
        <f t="shared" ca="1" si="7"/>
        <v>324.59999999999991</v>
      </c>
      <c r="I99" t="str">
        <f t="shared" si="4"/>
        <v>Jun</v>
      </c>
      <c r="J99">
        <f>YEAR(SalesData[[#This Row],[Date]])</f>
        <v>2024</v>
      </c>
    </row>
    <row r="100" spans="1:10" x14ac:dyDescent="0.25">
      <c r="A100">
        <v>1100</v>
      </c>
      <c r="B100" s="1">
        <v>45449</v>
      </c>
      <c r="C100" t="s">
        <v>10</v>
      </c>
      <c r="D100" t="s">
        <v>12</v>
      </c>
      <c r="E100" t="s">
        <v>22</v>
      </c>
      <c r="F100">
        <f t="shared" ca="1" si="5"/>
        <v>1709</v>
      </c>
      <c r="G100">
        <f t="shared" ca="1" si="6"/>
        <v>1076.67</v>
      </c>
      <c r="H100">
        <f t="shared" ca="1" si="7"/>
        <v>632.32999999999993</v>
      </c>
      <c r="I100" t="str">
        <f t="shared" si="4"/>
        <v>Jun</v>
      </c>
      <c r="J100">
        <f>YEAR(SalesData[[#This Row],[Date]])</f>
        <v>2024</v>
      </c>
    </row>
    <row r="101" spans="1:10" x14ac:dyDescent="0.25">
      <c r="A101">
        <v>1101</v>
      </c>
      <c r="B101" s="1">
        <v>45450</v>
      </c>
      <c r="C101" t="s">
        <v>8</v>
      </c>
      <c r="D101" t="s">
        <v>24</v>
      </c>
      <c r="E101" t="s">
        <v>23</v>
      </c>
      <c r="F101">
        <f t="shared" ca="1" si="5"/>
        <v>1393</v>
      </c>
      <c r="G101">
        <f t="shared" ca="1" si="6"/>
        <v>919.38</v>
      </c>
      <c r="H101">
        <f t="shared" ca="1" si="7"/>
        <v>473.62</v>
      </c>
      <c r="I101" t="str">
        <f t="shared" si="4"/>
        <v>Jun</v>
      </c>
      <c r="J101">
        <f>YEAR(SalesData[[#This Row],[Date]])</f>
        <v>2024</v>
      </c>
    </row>
    <row r="102" spans="1:10" x14ac:dyDescent="0.25">
      <c r="A102">
        <v>1102</v>
      </c>
      <c r="B102" s="1">
        <v>45451</v>
      </c>
      <c r="C102" t="s">
        <v>7</v>
      </c>
      <c r="D102" t="s">
        <v>12</v>
      </c>
      <c r="E102" t="s">
        <v>14</v>
      </c>
      <c r="F102">
        <f t="shared" ca="1" si="5"/>
        <v>1342</v>
      </c>
      <c r="G102">
        <f t="shared" ca="1" si="6"/>
        <v>764.94</v>
      </c>
      <c r="H102">
        <f t="shared" ca="1" si="7"/>
        <v>577.05999999999995</v>
      </c>
      <c r="I102" t="str">
        <f t="shared" si="4"/>
        <v>Jun</v>
      </c>
      <c r="J102">
        <f>YEAR(SalesData[[#This Row],[Date]])</f>
        <v>2024</v>
      </c>
    </row>
    <row r="103" spans="1:10" x14ac:dyDescent="0.25">
      <c r="A103">
        <v>1103</v>
      </c>
      <c r="B103" s="1">
        <v>45452</v>
      </c>
      <c r="C103" t="s">
        <v>9</v>
      </c>
      <c r="D103" t="s">
        <v>24</v>
      </c>
      <c r="E103" t="s">
        <v>15</v>
      </c>
      <c r="F103">
        <f t="shared" ca="1" si="5"/>
        <v>1304</v>
      </c>
      <c r="G103">
        <f t="shared" ca="1" si="6"/>
        <v>743.28</v>
      </c>
      <c r="H103">
        <f t="shared" ca="1" si="7"/>
        <v>560.72</v>
      </c>
      <c r="I103" t="str">
        <f t="shared" si="4"/>
        <v>Jun</v>
      </c>
      <c r="J103">
        <f>YEAR(SalesData[[#This Row],[Date]])</f>
        <v>2024</v>
      </c>
    </row>
    <row r="104" spans="1:10" x14ac:dyDescent="0.25">
      <c r="A104">
        <v>1104</v>
      </c>
      <c r="B104" s="1">
        <v>45453</v>
      </c>
      <c r="C104" t="s">
        <v>10</v>
      </c>
      <c r="D104" t="s">
        <v>13</v>
      </c>
      <c r="E104" t="s">
        <v>16</v>
      </c>
      <c r="F104">
        <f t="shared" ca="1" si="5"/>
        <v>1481</v>
      </c>
      <c r="G104">
        <f t="shared" ca="1" si="6"/>
        <v>1125.56</v>
      </c>
      <c r="H104">
        <f t="shared" ca="1" si="7"/>
        <v>355.44000000000005</v>
      </c>
      <c r="I104" t="str">
        <f t="shared" si="4"/>
        <v>Jun</v>
      </c>
      <c r="J104">
        <f>YEAR(SalesData[[#This Row],[Date]])</f>
        <v>2024</v>
      </c>
    </row>
    <row r="105" spans="1:10" x14ac:dyDescent="0.25">
      <c r="A105">
        <v>1105</v>
      </c>
      <c r="B105" s="1">
        <v>45454</v>
      </c>
      <c r="C105" t="s">
        <v>8</v>
      </c>
      <c r="D105" t="s">
        <v>12</v>
      </c>
      <c r="E105" t="s">
        <v>17</v>
      </c>
      <c r="F105">
        <f t="shared" ca="1" si="5"/>
        <v>585</v>
      </c>
      <c r="G105">
        <f t="shared" ca="1" si="6"/>
        <v>462.15</v>
      </c>
      <c r="H105">
        <f t="shared" ca="1" si="7"/>
        <v>122.85000000000002</v>
      </c>
      <c r="I105" t="str">
        <f t="shared" si="4"/>
        <v>Jun</v>
      </c>
      <c r="J105">
        <f>YEAR(SalesData[[#This Row],[Date]])</f>
        <v>2024</v>
      </c>
    </row>
    <row r="106" spans="1:10" x14ac:dyDescent="0.25">
      <c r="A106">
        <v>1106</v>
      </c>
      <c r="B106" s="1">
        <v>45455</v>
      </c>
      <c r="C106" t="s">
        <v>7</v>
      </c>
      <c r="D106" t="s">
        <v>24</v>
      </c>
      <c r="E106" t="s">
        <v>18</v>
      </c>
      <c r="F106">
        <f t="shared" ca="1" si="5"/>
        <v>409</v>
      </c>
      <c r="G106">
        <f t="shared" ca="1" si="6"/>
        <v>310.83999999999997</v>
      </c>
      <c r="H106">
        <f t="shared" ca="1" si="7"/>
        <v>98.160000000000025</v>
      </c>
      <c r="I106" t="str">
        <f t="shared" si="4"/>
        <v>Jun</v>
      </c>
      <c r="J106">
        <f>YEAR(SalesData[[#This Row],[Date]])</f>
        <v>2024</v>
      </c>
    </row>
    <row r="107" spans="1:10" x14ac:dyDescent="0.25">
      <c r="A107">
        <v>1107</v>
      </c>
      <c r="B107" s="1">
        <v>45456</v>
      </c>
      <c r="C107" t="s">
        <v>9</v>
      </c>
      <c r="D107" t="s">
        <v>12</v>
      </c>
      <c r="E107" t="s">
        <v>19</v>
      </c>
      <c r="F107">
        <f t="shared" ca="1" si="5"/>
        <v>1643</v>
      </c>
      <c r="G107">
        <f t="shared" ca="1" si="6"/>
        <v>1002.23</v>
      </c>
      <c r="H107">
        <f t="shared" ca="1" si="7"/>
        <v>640.77</v>
      </c>
      <c r="I107" t="str">
        <f t="shared" si="4"/>
        <v>Jun</v>
      </c>
      <c r="J107">
        <f>YEAR(SalesData[[#This Row],[Date]])</f>
        <v>2024</v>
      </c>
    </row>
    <row r="108" spans="1:10" x14ac:dyDescent="0.25">
      <c r="A108">
        <v>1108</v>
      </c>
      <c r="B108" s="1">
        <v>45457</v>
      </c>
      <c r="C108" t="s">
        <v>10</v>
      </c>
      <c r="D108" t="s">
        <v>24</v>
      </c>
      <c r="E108" t="s">
        <v>20</v>
      </c>
      <c r="F108">
        <f t="shared" ca="1" si="5"/>
        <v>855</v>
      </c>
      <c r="G108">
        <f t="shared" ca="1" si="6"/>
        <v>598.5</v>
      </c>
      <c r="H108">
        <f t="shared" ca="1" si="7"/>
        <v>256.5</v>
      </c>
      <c r="I108" t="str">
        <f t="shared" si="4"/>
        <v>Jun</v>
      </c>
      <c r="J108">
        <f>YEAR(SalesData[[#This Row],[Date]])</f>
        <v>2024</v>
      </c>
    </row>
    <row r="109" spans="1:10" x14ac:dyDescent="0.25">
      <c r="A109">
        <v>1109</v>
      </c>
      <c r="B109" s="1">
        <v>45458</v>
      </c>
      <c r="C109" t="s">
        <v>8</v>
      </c>
      <c r="D109" t="s">
        <v>13</v>
      </c>
      <c r="E109" t="s">
        <v>21</v>
      </c>
      <c r="F109">
        <f t="shared" ca="1" si="5"/>
        <v>1673</v>
      </c>
      <c r="G109">
        <f t="shared" ca="1" si="6"/>
        <v>1288.21</v>
      </c>
      <c r="H109">
        <f t="shared" ca="1" si="7"/>
        <v>384.78999999999996</v>
      </c>
      <c r="I109" t="str">
        <f t="shared" si="4"/>
        <v>Jun</v>
      </c>
      <c r="J109">
        <f>YEAR(SalesData[[#This Row],[Date]])</f>
        <v>2024</v>
      </c>
    </row>
    <row r="110" spans="1:10" x14ac:dyDescent="0.25">
      <c r="A110">
        <v>1110</v>
      </c>
      <c r="B110" s="1">
        <v>45459</v>
      </c>
      <c r="C110" t="s">
        <v>7</v>
      </c>
      <c r="D110" t="s">
        <v>12</v>
      </c>
      <c r="E110" t="s">
        <v>22</v>
      </c>
      <c r="F110">
        <f t="shared" ca="1" si="5"/>
        <v>1037</v>
      </c>
      <c r="G110">
        <f t="shared" ca="1" si="6"/>
        <v>798.49</v>
      </c>
      <c r="H110">
        <f t="shared" ca="1" si="7"/>
        <v>238.51</v>
      </c>
      <c r="I110" t="str">
        <f t="shared" si="4"/>
        <v>Jun</v>
      </c>
      <c r="J110">
        <f>YEAR(SalesData[[#This Row],[Date]])</f>
        <v>2024</v>
      </c>
    </row>
    <row r="111" spans="1:10" x14ac:dyDescent="0.25">
      <c r="A111">
        <v>1111</v>
      </c>
      <c r="B111" s="1">
        <v>45460</v>
      </c>
      <c r="C111" t="s">
        <v>9</v>
      </c>
      <c r="D111" t="s">
        <v>24</v>
      </c>
      <c r="E111" t="s">
        <v>23</v>
      </c>
      <c r="F111">
        <f t="shared" ca="1" si="5"/>
        <v>1320</v>
      </c>
      <c r="G111">
        <f t="shared" ca="1" si="6"/>
        <v>831.6</v>
      </c>
      <c r="H111">
        <f t="shared" ca="1" si="7"/>
        <v>488.4</v>
      </c>
      <c r="I111" t="str">
        <f t="shared" si="4"/>
        <v>Jun</v>
      </c>
      <c r="J111">
        <f>YEAR(SalesData[[#This Row],[Date]])</f>
        <v>2024</v>
      </c>
    </row>
    <row r="112" spans="1:10" x14ac:dyDescent="0.25">
      <c r="A112">
        <v>1112</v>
      </c>
      <c r="B112" s="1">
        <v>45461</v>
      </c>
      <c r="C112" t="s">
        <v>10</v>
      </c>
      <c r="D112" t="s">
        <v>12</v>
      </c>
      <c r="E112" t="s">
        <v>14</v>
      </c>
      <c r="F112">
        <f t="shared" ca="1" si="5"/>
        <v>1617</v>
      </c>
      <c r="G112">
        <f t="shared" ca="1" si="6"/>
        <v>1115.73</v>
      </c>
      <c r="H112">
        <f t="shared" ca="1" si="7"/>
        <v>501.27</v>
      </c>
      <c r="I112" t="str">
        <f t="shared" si="4"/>
        <v>Jun</v>
      </c>
      <c r="J112">
        <f>YEAR(SalesData[[#This Row],[Date]])</f>
        <v>2024</v>
      </c>
    </row>
    <row r="113" spans="1:10" x14ac:dyDescent="0.25">
      <c r="A113">
        <v>1113</v>
      </c>
      <c r="B113" s="1">
        <v>45462</v>
      </c>
      <c r="C113" t="s">
        <v>8</v>
      </c>
      <c r="D113" t="s">
        <v>24</v>
      </c>
      <c r="E113" t="s">
        <v>15</v>
      </c>
      <c r="F113">
        <f t="shared" ca="1" si="5"/>
        <v>1256</v>
      </c>
      <c r="G113">
        <f t="shared" ca="1" si="6"/>
        <v>715.92</v>
      </c>
      <c r="H113">
        <f t="shared" ca="1" si="7"/>
        <v>540.08000000000004</v>
      </c>
      <c r="I113" t="str">
        <f t="shared" si="4"/>
        <v>Jun</v>
      </c>
      <c r="J113">
        <f>YEAR(SalesData[[#This Row],[Date]])</f>
        <v>2024</v>
      </c>
    </row>
    <row r="114" spans="1:10" x14ac:dyDescent="0.25">
      <c r="A114">
        <v>1114</v>
      </c>
      <c r="B114" s="1">
        <v>45463</v>
      </c>
      <c r="C114" t="s">
        <v>7</v>
      </c>
      <c r="D114" t="s">
        <v>13</v>
      </c>
      <c r="E114" t="s">
        <v>16</v>
      </c>
      <c r="F114">
        <f t="shared" ca="1" si="5"/>
        <v>1567</v>
      </c>
      <c r="G114">
        <f t="shared" ca="1" si="6"/>
        <v>1175.25</v>
      </c>
      <c r="H114">
        <f t="shared" ca="1" si="7"/>
        <v>391.75</v>
      </c>
      <c r="I114" t="str">
        <f t="shared" si="4"/>
        <v>Jun</v>
      </c>
      <c r="J114">
        <f>YEAR(SalesData[[#This Row],[Date]])</f>
        <v>2024</v>
      </c>
    </row>
    <row r="115" spans="1:10" x14ac:dyDescent="0.25">
      <c r="A115">
        <v>1115</v>
      </c>
      <c r="B115" s="1">
        <v>45464</v>
      </c>
      <c r="C115" t="s">
        <v>9</v>
      </c>
      <c r="D115" t="s">
        <v>12</v>
      </c>
      <c r="E115" t="s">
        <v>17</v>
      </c>
      <c r="F115">
        <f t="shared" ca="1" si="5"/>
        <v>620</v>
      </c>
      <c r="G115">
        <f t="shared" ca="1" si="6"/>
        <v>483.6</v>
      </c>
      <c r="H115">
        <f t="shared" ca="1" si="7"/>
        <v>136.39999999999998</v>
      </c>
      <c r="I115" t="str">
        <f t="shared" si="4"/>
        <v>Jun</v>
      </c>
      <c r="J115">
        <f>YEAR(SalesData[[#This Row],[Date]])</f>
        <v>2024</v>
      </c>
    </row>
    <row r="116" spans="1:10" x14ac:dyDescent="0.25">
      <c r="A116">
        <v>1116</v>
      </c>
      <c r="B116" s="1">
        <v>45465</v>
      </c>
      <c r="C116" t="s">
        <v>10</v>
      </c>
      <c r="D116" t="s">
        <v>24</v>
      </c>
      <c r="E116" t="s">
        <v>18</v>
      </c>
      <c r="F116">
        <f t="shared" ca="1" si="5"/>
        <v>844</v>
      </c>
      <c r="G116">
        <f t="shared" ca="1" si="6"/>
        <v>506.4</v>
      </c>
      <c r="H116">
        <f t="shared" ca="1" si="7"/>
        <v>337.6</v>
      </c>
      <c r="I116" t="str">
        <f t="shared" si="4"/>
        <v>Jun</v>
      </c>
      <c r="J116">
        <f>YEAR(SalesData[[#This Row],[Date]])</f>
        <v>2024</v>
      </c>
    </row>
    <row r="117" spans="1:10" x14ac:dyDescent="0.25">
      <c r="A117">
        <v>1117</v>
      </c>
      <c r="B117" s="1">
        <v>45466</v>
      </c>
      <c r="C117" t="s">
        <v>8</v>
      </c>
      <c r="D117" t="s">
        <v>12</v>
      </c>
      <c r="E117" t="s">
        <v>19</v>
      </c>
      <c r="F117">
        <f t="shared" ca="1" si="5"/>
        <v>1694</v>
      </c>
      <c r="G117">
        <f t="shared" ca="1" si="6"/>
        <v>847</v>
      </c>
      <c r="H117">
        <f t="shared" ca="1" si="7"/>
        <v>847</v>
      </c>
      <c r="I117" t="str">
        <f t="shared" si="4"/>
        <v>Jun</v>
      </c>
      <c r="J117">
        <f>YEAR(SalesData[[#This Row],[Date]])</f>
        <v>2024</v>
      </c>
    </row>
    <row r="118" spans="1:10" x14ac:dyDescent="0.25">
      <c r="A118">
        <v>1118</v>
      </c>
      <c r="B118" s="1">
        <v>45467</v>
      </c>
      <c r="C118" t="s">
        <v>7</v>
      </c>
      <c r="D118" t="s">
        <v>24</v>
      </c>
      <c r="E118" t="s">
        <v>20</v>
      </c>
      <c r="F118">
        <f t="shared" ca="1" si="5"/>
        <v>675</v>
      </c>
      <c r="G118">
        <f t="shared" ca="1" si="6"/>
        <v>432</v>
      </c>
      <c r="H118">
        <f t="shared" ca="1" si="7"/>
        <v>243</v>
      </c>
      <c r="I118" t="str">
        <f t="shared" si="4"/>
        <v>Jun</v>
      </c>
      <c r="J118">
        <f>YEAR(SalesData[[#This Row],[Date]])</f>
        <v>2024</v>
      </c>
    </row>
    <row r="119" spans="1:10" x14ac:dyDescent="0.25">
      <c r="A119">
        <v>1119</v>
      </c>
      <c r="B119" s="1">
        <v>45468</v>
      </c>
      <c r="C119" t="s">
        <v>9</v>
      </c>
      <c r="D119" t="s">
        <v>13</v>
      </c>
      <c r="E119" t="s">
        <v>21</v>
      </c>
      <c r="F119">
        <f t="shared" ca="1" si="5"/>
        <v>909</v>
      </c>
      <c r="G119">
        <f t="shared" ca="1" si="6"/>
        <v>672.66</v>
      </c>
      <c r="H119">
        <f t="shared" ca="1" si="7"/>
        <v>236.34000000000003</v>
      </c>
      <c r="I119" t="str">
        <f t="shared" si="4"/>
        <v>Jun</v>
      </c>
      <c r="J119">
        <f>YEAR(SalesData[[#This Row],[Date]])</f>
        <v>2024</v>
      </c>
    </row>
    <row r="120" spans="1:10" x14ac:dyDescent="0.25">
      <c r="A120">
        <v>1120</v>
      </c>
      <c r="B120" s="1">
        <v>45469</v>
      </c>
      <c r="C120" t="s">
        <v>10</v>
      </c>
      <c r="D120" t="s">
        <v>12</v>
      </c>
      <c r="E120" t="s">
        <v>22</v>
      </c>
      <c r="F120">
        <f t="shared" ca="1" si="5"/>
        <v>853</v>
      </c>
      <c r="G120">
        <f t="shared" ca="1" si="6"/>
        <v>639.75</v>
      </c>
      <c r="H120">
        <f t="shared" ca="1" si="7"/>
        <v>213.25</v>
      </c>
      <c r="I120" t="str">
        <f t="shared" si="4"/>
        <v>Jun</v>
      </c>
      <c r="J120">
        <f>YEAR(SalesData[[#This Row],[Date]])</f>
        <v>2024</v>
      </c>
    </row>
    <row r="121" spans="1:10" x14ac:dyDescent="0.25">
      <c r="A121">
        <v>1121</v>
      </c>
      <c r="B121" s="1">
        <v>45470</v>
      </c>
      <c r="C121" t="s">
        <v>8</v>
      </c>
      <c r="D121" t="s">
        <v>24</v>
      </c>
      <c r="E121" t="s">
        <v>23</v>
      </c>
      <c r="F121">
        <f t="shared" ca="1" si="5"/>
        <v>1752</v>
      </c>
      <c r="G121">
        <f t="shared" ca="1" si="6"/>
        <v>1384.08</v>
      </c>
      <c r="H121">
        <f t="shared" ca="1" si="7"/>
        <v>367.92000000000007</v>
      </c>
      <c r="I121" t="str">
        <f t="shared" si="4"/>
        <v>Jun</v>
      </c>
      <c r="J121">
        <f>YEAR(SalesData[[#This Row],[Date]])</f>
        <v>2024</v>
      </c>
    </row>
    <row r="122" spans="1:10" x14ac:dyDescent="0.25">
      <c r="A122">
        <v>1122</v>
      </c>
      <c r="B122" s="1">
        <v>45471</v>
      </c>
      <c r="C122" t="s">
        <v>7</v>
      </c>
      <c r="D122" t="s">
        <v>12</v>
      </c>
      <c r="E122" t="s">
        <v>14</v>
      </c>
      <c r="F122">
        <f t="shared" ca="1" si="5"/>
        <v>769</v>
      </c>
      <c r="G122">
        <f t="shared" ca="1" si="6"/>
        <v>584.44000000000005</v>
      </c>
      <c r="H122">
        <f t="shared" ca="1" si="7"/>
        <v>184.55999999999995</v>
      </c>
      <c r="I122" t="str">
        <f t="shared" si="4"/>
        <v>Jun</v>
      </c>
      <c r="J122">
        <f>YEAR(SalesData[[#This Row],[Date]])</f>
        <v>2024</v>
      </c>
    </row>
    <row r="123" spans="1:10" x14ac:dyDescent="0.25">
      <c r="A123">
        <v>1123</v>
      </c>
      <c r="B123" s="1">
        <v>45472</v>
      </c>
      <c r="C123" t="s">
        <v>9</v>
      </c>
      <c r="D123" t="s">
        <v>24</v>
      </c>
      <c r="E123" t="s">
        <v>15</v>
      </c>
      <c r="F123">
        <f t="shared" ca="1" si="5"/>
        <v>305</v>
      </c>
      <c r="G123">
        <f t="shared" ca="1" si="6"/>
        <v>167.75</v>
      </c>
      <c r="H123">
        <f t="shared" ca="1" si="7"/>
        <v>137.25</v>
      </c>
      <c r="I123" t="str">
        <f t="shared" si="4"/>
        <v>Jun</v>
      </c>
      <c r="J123">
        <f>YEAR(SalesData[[#This Row],[Date]])</f>
        <v>2024</v>
      </c>
    </row>
    <row r="124" spans="1:10" x14ac:dyDescent="0.25">
      <c r="A124">
        <v>1124</v>
      </c>
      <c r="B124" s="1">
        <v>45473</v>
      </c>
      <c r="C124" t="s">
        <v>10</v>
      </c>
      <c r="D124" t="s">
        <v>13</v>
      </c>
      <c r="E124" t="s">
        <v>16</v>
      </c>
      <c r="F124">
        <f t="shared" ca="1" si="5"/>
        <v>496</v>
      </c>
      <c r="G124">
        <f t="shared" ca="1" si="6"/>
        <v>292.64</v>
      </c>
      <c r="H124">
        <f t="shared" ca="1" si="7"/>
        <v>203.36</v>
      </c>
      <c r="I124" t="str">
        <f t="shared" si="4"/>
        <v>Jun</v>
      </c>
      <c r="J124">
        <f>YEAR(SalesData[[#This Row],[Date]])</f>
        <v>2024</v>
      </c>
    </row>
    <row r="125" spans="1:10" x14ac:dyDescent="0.25">
      <c r="A125">
        <v>1125</v>
      </c>
      <c r="B125" s="1">
        <v>45474</v>
      </c>
      <c r="C125" t="s">
        <v>8</v>
      </c>
      <c r="D125" t="s">
        <v>12</v>
      </c>
      <c r="E125" t="s">
        <v>17</v>
      </c>
      <c r="F125">
        <f t="shared" ca="1" si="5"/>
        <v>1707</v>
      </c>
      <c r="G125">
        <f t="shared" ca="1" si="6"/>
        <v>1075.4100000000001</v>
      </c>
      <c r="H125">
        <f t="shared" ca="1" si="7"/>
        <v>631.58999999999992</v>
      </c>
      <c r="I125" t="str">
        <f t="shared" si="4"/>
        <v>Jul</v>
      </c>
      <c r="J125">
        <f>YEAR(SalesData[[#This Row],[Date]])</f>
        <v>2024</v>
      </c>
    </row>
    <row r="126" spans="1:10" x14ac:dyDescent="0.25">
      <c r="A126">
        <v>1126</v>
      </c>
      <c r="B126" s="1">
        <v>45475</v>
      </c>
      <c r="C126" t="s">
        <v>7</v>
      </c>
      <c r="D126" t="s">
        <v>24</v>
      </c>
      <c r="E126" t="s">
        <v>18</v>
      </c>
      <c r="F126">
        <f t="shared" ca="1" si="5"/>
        <v>890</v>
      </c>
      <c r="G126">
        <f t="shared" ca="1" si="6"/>
        <v>623</v>
      </c>
      <c r="H126">
        <f t="shared" ca="1" si="7"/>
        <v>267</v>
      </c>
      <c r="I126" t="str">
        <f t="shared" si="4"/>
        <v>Jul</v>
      </c>
      <c r="J126">
        <f>YEAR(SalesData[[#This Row],[Date]])</f>
        <v>2024</v>
      </c>
    </row>
    <row r="127" spans="1:10" x14ac:dyDescent="0.25">
      <c r="A127">
        <v>1127</v>
      </c>
      <c r="B127" s="1">
        <v>45476</v>
      </c>
      <c r="C127" t="s">
        <v>9</v>
      </c>
      <c r="D127" t="s">
        <v>12</v>
      </c>
      <c r="E127" t="s">
        <v>19</v>
      </c>
      <c r="F127">
        <f t="shared" ca="1" si="5"/>
        <v>963</v>
      </c>
      <c r="G127">
        <f t="shared" ca="1" si="6"/>
        <v>558.54</v>
      </c>
      <c r="H127">
        <f t="shared" ca="1" si="7"/>
        <v>404.46000000000004</v>
      </c>
      <c r="I127" t="str">
        <f t="shared" si="4"/>
        <v>Jul</v>
      </c>
      <c r="J127">
        <f>YEAR(SalesData[[#This Row],[Date]])</f>
        <v>2024</v>
      </c>
    </row>
    <row r="128" spans="1:10" x14ac:dyDescent="0.25">
      <c r="A128">
        <v>1128</v>
      </c>
      <c r="B128" s="1">
        <v>45477</v>
      </c>
      <c r="C128" t="s">
        <v>10</v>
      </c>
      <c r="D128" t="s">
        <v>24</v>
      </c>
      <c r="E128" t="s">
        <v>20</v>
      </c>
      <c r="F128">
        <f t="shared" ca="1" si="5"/>
        <v>593</v>
      </c>
      <c r="G128">
        <f t="shared" ca="1" si="6"/>
        <v>403.24</v>
      </c>
      <c r="H128">
        <f t="shared" ca="1" si="7"/>
        <v>189.76</v>
      </c>
      <c r="I128" t="str">
        <f t="shared" si="4"/>
        <v>Jul</v>
      </c>
      <c r="J128">
        <f>YEAR(SalesData[[#This Row],[Date]])</f>
        <v>2024</v>
      </c>
    </row>
    <row r="129" spans="1:10" x14ac:dyDescent="0.25">
      <c r="A129">
        <v>1129</v>
      </c>
      <c r="B129" s="1">
        <v>45478</v>
      </c>
      <c r="C129" t="s">
        <v>8</v>
      </c>
      <c r="D129" t="s">
        <v>13</v>
      </c>
      <c r="E129" t="s">
        <v>21</v>
      </c>
      <c r="F129">
        <f t="shared" ca="1" si="5"/>
        <v>565</v>
      </c>
      <c r="G129">
        <f t="shared" ca="1" si="6"/>
        <v>361.6</v>
      </c>
      <c r="H129">
        <f t="shared" ca="1" si="7"/>
        <v>203.39999999999998</v>
      </c>
      <c r="I129" t="str">
        <f t="shared" si="4"/>
        <v>Jul</v>
      </c>
      <c r="J129">
        <f>YEAR(SalesData[[#This Row],[Date]])</f>
        <v>2024</v>
      </c>
    </row>
    <row r="130" spans="1:10" x14ac:dyDescent="0.25">
      <c r="A130">
        <v>1130</v>
      </c>
      <c r="B130" s="1">
        <v>45479</v>
      </c>
      <c r="C130" t="s">
        <v>7</v>
      </c>
      <c r="D130" t="s">
        <v>12</v>
      </c>
      <c r="E130" t="s">
        <v>22</v>
      </c>
      <c r="F130">
        <f t="shared" ca="1" si="5"/>
        <v>1459</v>
      </c>
      <c r="G130">
        <f t="shared" ca="1" si="6"/>
        <v>875.4</v>
      </c>
      <c r="H130">
        <f t="shared" ca="1" si="7"/>
        <v>583.6</v>
      </c>
      <c r="I130" t="str">
        <f t="shared" ref="I130:I193" si="8">TEXT(B130,"mmm")</f>
        <v>Jul</v>
      </c>
      <c r="J130">
        <f>YEAR(SalesData[[#This Row],[Date]])</f>
        <v>2024</v>
      </c>
    </row>
    <row r="131" spans="1:10" x14ac:dyDescent="0.25">
      <c r="A131">
        <v>1131</v>
      </c>
      <c r="B131" s="1">
        <v>45480</v>
      </c>
      <c r="C131" t="s">
        <v>9</v>
      </c>
      <c r="D131" t="s">
        <v>24</v>
      </c>
      <c r="E131" t="s">
        <v>23</v>
      </c>
      <c r="F131">
        <f t="shared" ref="F131:F194" ca="1" si="9">RANDBETWEEN(300,2000)</f>
        <v>773</v>
      </c>
      <c r="G131">
        <f t="shared" ref="G131:G194" ca="1" si="10">F131*RANDBETWEEN(50,80)/100</f>
        <v>533.37</v>
      </c>
      <c r="H131">
        <f t="shared" ref="H131:H194" ca="1" si="11">F131-G131</f>
        <v>239.63</v>
      </c>
      <c r="I131" t="str">
        <f t="shared" si="8"/>
        <v>Jul</v>
      </c>
      <c r="J131">
        <f>YEAR(SalesData[[#This Row],[Date]])</f>
        <v>2024</v>
      </c>
    </row>
    <row r="132" spans="1:10" x14ac:dyDescent="0.25">
      <c r="A132">
        <v>1132</v>
      </c>
      <c r="B132" s="1">
        <v>45481</v>
      </c>
      <c r="C132" t="s">
        <v>10</v>
      </c>
      <c r="D132" t="s">
        <v>12</v>
      </c>
      <c r="E132" t="s">
        <v>14</v>
      </c>
      <c r="F132">
        <f t="shared" ca="1" si="9"/>
        <v>863</v>
      </c>
      <c r="G132">
        <f t="shared" ca="1" si="10"/>
        <v>664.51</v>
      </c>
      <c r="H132">
        <f t="shared" ca="1" si="11"/>
        <v>198.49</v>
      </c>
      <c r="I132" t="str">
        <f t="shared" si="8"/>
        <v>Jul</v>
      </c>
      <c r="J132">
        <f>YEAR(SalesData[[#This Row],[Date]])</f>
        <v>2024</v>
      </c>
    </row>
    <row r="133" spans="1:10" x14ac:dyDescent="0.25">
      <c r="A133">
        <v>1133</v>
      </c>
      <c r="B133" s="1">
        <v>45482</v>
      </c>
      <c r="C133" t="s">
        <v>8</v>
      </c>
      <c r="D133" t="s">
        <v>24</v>
      </c>
      <c r="E133" t="s">
        <v>15</v>
      </c>
      <c r="F133">
        <f t="shared" ca="1" si="9"/>
        <v>1024</v>
      </c>
      <c r="G133">
        <f t="shared" ca="1" si="10"/>
        <v>757.76</v>
      </c>
      <c r="H133">
        <f t="shared" ca="1" si="11"/>
        <v>266.24</v>
      </c>
      <c r="I133" t="str">
        <f t="shared" si="8"/>
        <v>Jul</v>
      </c>
      <c r="J133">
        <f>YEAR(SalesData[[#This Row],[Date]])</f>
        <v>2024</v>
      </c>
    </row>
    <row r="134" spans="1:10" x14ac:dyDescent="0.25">
      <c r="A134">
        <v>1134</v>
      </c>
      <c r="B134" s="1">
        <v>45483</v>
      </c>
      <c r="C134" t="s">
        <v>7</v>
      </c>
      <c r="D134" t="s">
        <v>13</v>
      </c>
      <c r="E134" t="s">
        <v>16</v>
      </c>
      <c r="F134">
        <f t="shared" ca="1" si="9"/>
        <v>886</v>
      </c>
      <c r="G134">
        <f t="shared" ca="1" si="10"/>
        <v>708.8</v>
      </c>
      <c r="H134">
        <f t="shared" ca="1" si="11"/>
        <v>177.20000000000005</v>
      </c>
      <c r="I134" t="str">
        <f t="shared" si="8"/>
        <v>Jul</v>
      </c>
      <c r="J134">
        <f>YEAR(SalesData[[#This Row],[Date]])</f>
        <v>2024</v>
      </c>
    </row>
    <row r="135" spans="1:10" x14ac:dyDescent="0.25">
      <c r="A135">
        <v>1135</v>
      </c>
      <c r="B135" s="1">
        <v>45484</v>
      </c>
      <c r="C135" t="s">
        <v>9</v>
      </c>
      <c r="D135" t="s">
        <v>12</v>
      </c>
      <c r="E135" t="s">
        <v>17</v>
      </c>
      <c r="F135">
        <f t="shared" ca="1" si="9"/>
        <v>922</v>
      </c>
      <c r="G135">
        <f t="shared" ca="1" si="10"/>
        <v>673.06</v>
      </c>
      <c r="H135">
        <f t="shared" ca="1" si="11"/>
        <v>248.94000000000005</v>
      </c>
      <c r="I135" t="str">
        <f t="shared" si="8"/>
        <v>Jul</v>
      </c>
      <c r="J135">
        <f>YEAR(SalesData[[#This Row],[Date]])</f>
        <v>2024</v>
      </c>
    </row>
    <row r="136" spans="1:10" x14ac:dyDescent="0.25">
      <c r="A136">
        <v>1136</v>
      </c>
      <c r="B136" s="1">
        <v>45485</v>
      </c>
      <c r="C136" t="s">
        <v>10</v>
      </c>
      <c r="D136" t="s">
        <v>24</v>
      </c>
      <c r="E136" t="s">
        <v>18</v>
      </c>
      <c r="F136">
        <f t="shared" ca="1" si="9"/>
        <v>1342</v>
      </c>
      <c r="G136">
        <f t="shared" ca="1" si="10"/>
        <v>966.24</v>
      </c>
      <c r="H136">
        <f t="shared" ca="1" si="11"/>
        <v>375.76</v>
      </c>
      <c r="I136" t="str">
        <f t="shared" si="8"/>
        <v>Jul</v>
      </c>
      <c r="J136">
        <f>YEAR(SalesData[[#This Row],[Date]])</f>
        <v>2024</v>
      </c>
    </row>
    <row r="137" spans="1:10" x14ac:dyDescent="0.25">
      <c r="A137">
        <v>1137</v>
      </c>
      <c r="B137" s="1">
        <v>45486</v>
      </c>
      <c r="C137" t="s">
        <v>8</v>
      </c>
      <c r="D137" t="s">
        <v>12</v>
      </c>
      <c r="E137" t="s">
        <v>19</v>
      </c>
      <c r="F137">
        <f t="shared" ca="1" si="9"/>
        <v>623</v>
      </c>
      <c r="G137">
        <f t="shared" ca="1" si="10"/>
        <v>467.25</v>
      </c>
      <c r="H137">
        <f t="shared" ca="1" si="11"/>
        <v>155.75</v>
      </c>
      <c r="I137" t="str">
        <f t="shared" si="8"/>
        <v>Jul</v>
      </c>
      <c r="J137">
        <f>YEAR(SalesData[[#This Row],[Date]])</f>
        <v>2024</v>
      </c>
    </row>
    <row r="138" spans="1:10" x14ac:dyDescent="0.25">
      <c r="A138">
        <v>1138</v>
      </c>
      <c r="B138" s="1">
        <v>45487</v>
      </c>
      <c r="C138" t="s">
        <v>7</v>
      </c>
      <c r="D138" t="s">
        <v>24</v>
      </c>
      <c r="E138" t="s">
        <v>20</v>
      </c>
      <c r="F138">
        <f t="shared" ca="1" si="9"/>
        <v>345</v>
      </c>
      <c r="G138">
        <f t="shared" ca="1" si="10"/>
        <v>234.6</v>
      </c>
      <c r="H138">
        <f t="shared" ca="1" si="11"/>
        <v>110.4</v>
      </c>
      <c r="I138" t="str">
        <f t="shared" si="8"/>
        <v>Jul</v>
      </c>
      <c r="J138">
        <f>YEAR(SalesData[[#This Row],[Date]])</f>
        <v>2024</v>
      </c>
    </row>
    <row r="139" spans="1:10" x14ac:dyDescent="0.25">
      <c r="A139">
        <v>1139</v>
      </c>
      <c r="B139" s="1">
        <v>45488</v>
      </c>
      <c r="C139" t="s">
        <v>9</v>
      </c>
      <c r="D139" t="s">
        <v>13</v>
      </c>
      <c r="E139" t="s">
        <v>21</v>
      </c>
      <c r="F139">
        <f t="shared" ca="1" si="9"/>
        <v>1955</v>
      </c>
      <c r="G139">
        <f t="shared" ca="1" si="10"/>
        <v>997.05</v>
      </c>
      <c r="H139">
        <f t="shared" ca="1" si="11"/>
        <v>957.95</v>
      </c>
      <c r="I139" t="str">
        <f t="shared" si="8"/>
        <v>Jul</v>
      </c>
      <c r="J139">
        <f>YEAR(SalesData[[#This Row],[Date]])</f>
        <v>2024</v>
      </c>
    </row>
    <row r="140" spans="1:10" x14ac:dyDescent="0.25">
      <c r="A140">
        <v>1140</v>
      </c>
      <c r="B140" s="1">
        <v>45489</v>
      </c>
      <c r="C140" t="s">
        <v>10</v>
      </c>
      <c r="D140" t="s">
        <v>12</v>
      </c>
      <c r="E140" t="s">
        <v>22</v>
      </c>
      <c r="F140">
        <f t="shared" ca="1" si="9"/>
        <v>1210</v>
      </c>
      <c r="G140">
        <f t="shared" ca="1" si="10"/>
        <v>786.5</v>
      </c>
      <c r="H140">
        <f t="shared" ca="1" si="11"/>
        <v>423.5</v>
      </c>
      <c r="I140" t="str">
        <f t="shared" si="8"/>
        <v>Jul</v>
      </c>
      <c r="J140">
        <f>YEAR(SalesData[[#This Row],[Date]])</f>
        <v>2024</v>
      </c>
    </row>
    <row r="141" spans="1:10" x14ac:dyDescent="0.25">
      <c r="A141">
        <v>1141</v>
      </c>
      <c r="B141" s="1">
        <v>45490</v>
      </c>
      <c r="C141" t="s">
        <v>8</v>
      </c>
      <c r="D141" t="s">
        <v>24</v>
      </c>
      <c r="E141" t="s">
        <v>23</v>
      </c>
      <c r="F141">
        <f t="shared" ca="1" si="9"/>
        <v>446</v>
      </c>
      <c r="G141">
        <f t="shared" ca="1" si="10"/>
        <v>356.8</v>
      </c>
      <c r="H141">
        <f t="shared" ca="1" si="11"/>
        <v>89.199999999999989</v>
      </c>
      <c r="I141" t="str">
        <f t="shared" si="8"/>
        <v>Jul</v>
      </c>
      <c r="J141">
        <f>YEAR(SalesData[[#This Row],[Date]])</f>
        <v>2024</v>
      </c>
    </row>
    <row r="142" spans="1:10" x14ac:dyDescent="0.25">
      <c r="A142">
        <v>1142</v>
      </c>
      <c r="B142" s="1">
        <v>45491</v>
      </c>
      <c r="C142" t="s">
        <v>7</v>
      </c>
      <c r="D142" t="s">
        <v>12</v>
      </c>
      <c r="E142" t="s">
        <v>14</v>
      </c>
      <c r="F142">
        <f t="shared" ca="1" si="9"/>
        <v>1796</v>
      </c>
      <c r="G142">
        <f t="shared" ca="1" si="10"/>
        <v>1347</v>
      </c>
      <c r="H142">
        <f t="shared" ca="1" si="11"/>
        <v>449</v>
      </c>
      <c r="I142" t="str">
        <f t="shared" si="8"/>
        <v>Jul</v>
      </c>
      <c r="J142">
        <f>YEAR(SalesData[[#This Row],[Date]])</f>
        <v>2024</v>
      </c>
    </row>
    <row r="143" spans="1:10" x14ac:dyDescent="0.25">
      <c r="A143">
        <v>1143</v>
      </c>
      <c r="B143" s="1">
        <v>45492</v>
      </c>
      <c r="C143" t="s">
        <v>9</v>
      </c>
      <c r="D143" t="s">
        <v>24</v>
      </c>
      <c r="E143" t="s">
        <v>15</v>
      </c>
      <c r="F143">
        <f t="shared" ca="1" si="9"/>
        <v>569</v>
      </c>
      <c r="G143">
        <f t="shared" ca="1" si="10"/>
        <v>432.44</v>
      </c>
      <c r="H143">
        <f t="shared" ca="1" si="11"/>
        <v>136.56</v>
      </c>
      <c r="I143" t="str">
        <f t="shared" si="8"/>
        <v>Jul</v>
      </c>
      <c r="J143">
        <f>YEAR(SalesData[[#This Row],[Date]])</f>
        <v>2024</v>
      </c>
    </row>
    <row r="144" spans="1:10" x14ac:dyDescent="0.25">
      <c r="A144">
        <v>1144</v>
      </c>
      <c r="B144" s="1">
        <v>45493</v>
      </c>
      <c r="C144" t="s">
        <v>10</v>
      </c>
      <c r="D144" t="s">
        <v>13</v>
      </c>
      <c r="E144" t="s">
        <v>16</v>
      </c>
      <c r="F144">
        <f t="shared" ca="1" si="9"/>
        <v>1460</v>
      </c>
      <c r="G144">
        <f t="shared" ca="1" si="10"/>
        <v>832.2</v>
      </c>
      <c r="H144">
        <f t="shared" ca="1" si="11"/>
        <v>627.79999999999995</v>
      </c>
      <c r="I144" t="str">
        <f t="shared" si="8"/>
        <v>Jul</v>
      </c>
      <c r="J144">
        <f>YEAR(SalesData[[#This Row],[Date]])</f>
        <v>2024</v>
      </c>
    </row>
    <row r="145" spans="1:10" x14ac:dyDescent="0.25">
      <c r="A145">
        <v>1145</v>
      </c>
      <c r="B145" s="1">
        <v>45494</v>
      </c>
      <c r="C145" t="s">
        <v>8</v>
      </c>
      <c r="D145" t="s">
        <v>12</v>
      </c>
      <c r="E145" t="s">
        <v>17</v>
      </c>
      <c r="F145">
        <f t="shared" ca="1" si="9"/>
        <v>1478</v>
      </c>
      <c r="G145">
        <f t="shared" ca="1" si="10"/>
        <v>931.14</v>
      </c>
      <c r="H145">
        <f t="shared" ca="1" si="11"/>
        <v>546.86</v>
      </c>
      <c r="I145" t="str">
        <f t="shared" si="8"/>
        <v>Jul</v>
      </c>
      <c r="J145">
        <f>YEAR(SalesData[[#This Row],[Date]])</f>
        <v>2024</v>
      </c>
    </row>
    <row r="146" spans="1:10" x14ac:dyDescent="0.25">
      <c r="A146">
        <v>1146</v>
      </c>
      <c r="B146" s="1">
        <v>45495</v>
      </c>
      <c r="C146" t="s">
        <v>7</v>
      </c>
      <c r="D146" t="s">
        <v>24</v>
      </c>
      <c r="E146" t="s">
        <v>18</v>
      </c>
      <c r="F146">
        <f t="shared" ca="1" si="9"/>
        <v>1558</v>
      </c>
      <c r="G146">
        <f t="shared" ca="1" si="10"/>
        <v>1121.76</v>
      </c>
      <c r="H146">
        <f t="shared" ca="1" si="11"/>
        <v>436.24</v>
      </c>
      <c r="I146" t="str">
        <f t="shared" si="8"/>
        <v>Jul</v>
      </c>
      <c r="J146">
        <f>YEAR(SalesData[[#This Row],[Date]])</f>
        <v>2024</v>
      </c>
    </row>
    <row r="147" spans="1:10" x14ac:dyDescent="0.25">
      <c r="A147">
        <v>1147</v>
      </c>
      <c r="B147" s="1">
        <v>45496</v>
      </c>
      <c r="C147" t="s">
        <v>9</v>
      </c>
      <c r="D147" t="s">
        <v>12</v>
      </c>
      <c r="E147" t="s">
        <v>19</v>
      </c>
      <c r="F147">
        <f t="shared" ca="1" si="9"/>
        <v>849</v>
      </c>
      <c r="G147">
        <f t="shared" ca="1" si="10"/>
        <v>568.83000000000004</v>
      </c>
      <c r="H147">
        <f t="shared" ca="1" si="11"/>
        <v>280.16999999999996</v>
      </c>
      <c r="I147" t="str">
        <f t="shared" si="8"/>
        <v>Jul</v>
      </c>
      <c r="J147">
        <f>YEAR(SalesData[[#This Row],[Date]])</f>
        <v>2024</v>
      </c>
    </row>
    <row r="148" spans="1:10" x14ac:dyDescent="0.25">
      <c r="A148">
        <v>1148</v>
      </c>
      <c r="B148" s="1">
        <v>45497</v>
      </c>
      <c r="C148" t="s">
        <v>10</v>
      </c>
      <c r="D148" t="s">
        <v>24</v>
      </c>
      <c r="E148" t="s">
        <v>20</v>
      </c>
      <c r="F148">
        <f t="shared" ca="1" si="9"/>
        <v>1735</v>
      </c>
      <c r="G148">
        <f t="shared" ca="1" si="10"/>
        <v>1318.6</v>
      </c>
      <c r="H148">
        <f t="shared" ca="1" si="11"/>
        <v>416.40000000000009</v>
      </c>
      <c r="I148" t="str">
        <f t="shared" si="8"/>
        <v>Jul</v>
      </c>
      <c r="J148">
        <f>YEAR(SalesData[[#This Row],[Date]])</f>
        <v>2024</v>
      </c>
    </row>
    <row r="149" spans="1:10" x14ac:dyDescent="0.25">
      <c r="A149">
        <v>1149</v>
      </c>
      <c r="B149" s="1">
        <v>45498</v>
      </c>
      <c r="C149" t="s">
        <v>8</v>
      </c>
      <c r="D149" t="s">
        <v>13</v>
      </c>
      <c r="E149" t="s">
        <v>21</v>
      </c>
      <c r="F149">
        <f t="shared" ca="1" si="9"/>
        <v>409</v>
      </c>
      <c r="G149">
        <f t="shared" ca="1" si="10"/>
        <v>216.77</v>
      </c>
      <c r="H149">
        <f t="shared" ca="1" si="11"/>
        <v>192.23</v>
      </c>
      <c r="I149" t="str">
        <f t="shared" si="8"/>
        <v>Jul</v>
      </c>
      <c r="J149">
        <f>YEAR(SalesData[[#This Row],[Date]])</f>
        <v>2024</v>
      </c>
    </row>
    <row r="150" spans="1:10" x14ac:dyDescent="0.25">
      <c r="A150">
        <v>1150</v>
      </c>
      <c r="B150" s="1">
        <v>45499</v>
      </c>
      <c r="C150" t="s">
        <v>7</v>
      </c>
      <c r="D150" t="s">
        <v>12</v>
      </c>
      <c r="E150" t="s">
        <v>22</v>
      </c>
      <c r="F150">
        <f t="shared" ca="1" si="9"/>
        <v>1041</v>
      </c>
      <c r="G150">
        <f t="shared" ca="1" si="10"/>
        <v>593.37</v>
      </c>
      <c r="H150">
        <f t="shared" ca="1" si="11"/>
        <v>447.63</v>
      </c>
      <c r="I150" t="str">
        <f t="shared" si="8"/>
        <v>Jul</v>
      </c>
      <c r="J150">
        <f>YEAR(SalesData[[#This Row],[Date]])</f>
        <v>2024</v>
      </c>
    </row>
    <row r="151" spans="1:10" x14ac:dyDescent="0.25">
      <c r="A151">
        <v>1151</v>
      </c>
      <c r="B151" s="1">
        <v>45500</v>
      </c>
      <c r="C151" t="s">
        <v>9</v>
      </c>
      <c r="D151" t="s">
        <v>24</v>
      </c>
      <c r="E151" t="s">
        <v>23</v>
      </c>
      <c r="F151">
        <f t="shared" ca="1" si="9"/>
        <v>1282</v>
      </c>
      <c r="G151">
        <f t="shared" ca="1" si="10"/>
        <v>833.3</v>
      </c>
      <c r="H151">
        <f t="shared" ca="1" si="11"/>
        <v>448.70000000000005</v>
      </c>
      <c r="I151" t="str">
        <f t="shared" si="8"/>
        <v>Jul</v>
      </c>
      <c r="J151">
        <f>YEAR(SalesData[[#This Row],[Date]])</f>
        <v>2024</v>
      </c>
    </row>
    <row r="152" spans="1:10" x14ac:dyDescent="0.25">
      <c r="A152">
        <v>1152</v>
      </c>
      <c r="B152" s="1">
        <v>45501</v>
      </c>
      <c r="C152" t="s">
        <v>10</v>
      </c>
      <c r="D152" t="s">
        <v>12</v>
      </c>
      <c r="E152" t="s">
        <v>14</v>
      </c>
      <c r="F152">
        <f t="shared" ca="1" si="9"/>
        <v>1290</v>
      </c>
      <c r="G152">
        <f t="shared" ca="1" si="10"/>
        <v>735.3</v>
      </c>
      <c r="H152">
        <f t="shared" ca="1" si="11"/>
        <v>554.70000000000005</v>
      </c>
      <c r="I152" t="str">
        <f t="shared" si="8"/>
        <v>Jul</v>
      </c>
      <c r="J152">
        <f>YEAR(SalesData[[#This Row],[Date]])</f>
        <v>2024</v>
      </c>
    </row>
    <row r="153" spans="1:10" x14ac:dyDescent="0.25">
      <c r="A153">
        <v>1153</v>
      </c>
      <c r="B153" s="1">
        <v>45502</v>
      </c>
      <c r="C153" t="s">
        <v>8</v>
      </c>
      <c r="D153" t="s">
        <v>24</v>
      </c>
      <c r="E153" t="s">
        <v>15</v>
      </c>
      <c r="F153">
        <f t="shared" ca="1" si="9"/>
        <v>915</v>
      </c>
      <c r="G153">
        <f t="shared" ca="1" si="10"/>
        <v>549</v>
      </c>
      <c r="H153">
        <f t="shared" ca="1" si="11"/>
        <v>366</v>
      </c>
      <c r="I153" t="str">
        <f t="shared" si="8"/>
        <v>Jul</v>
      </c>
      <c r="J153">
        <f>YEAR(SalesData[[#This Row],[Date]])</f>
        <v>2024</v>
      </c>
    </row>
    <row r="154" spans="1:10" x14ac:dyDescent="0.25">
      <c r="A154">
        <v>1154</v>
      </c>
      <c r="B154" s="1">
        <v>45503</v>
      </c>
      <c r="C154" t="s">
        <v>7</v>
      </c>
      <c r="D154" t="s">
        <v>13</v>
      </c>
      <c r="E154" t="s">
        <v>16</v>
      </c>
      <c r="F154">
        <f t="shared" ca="1" si="9"/>
        <v>527</v>
      </c>
      <c r="G154">
        <f t="shared" ca="1" si="10"/>
        <v>374.17</v>
      </c>
      <c r="H154">
        <f t="shared" ca="1" si="11"/>
        <v>152.82999999999998</v>
      </c>
      <c r="I154" t="str">
        <f t="shared" si="8"/>
        <v>Jul</v>
      </c>
      <c r="J154">
        <f>YEAR(SalesData[[#This Row],[Date]])</f>
        <v>2024</v>
      </c>
    </row>
    <row r="155" spans="1:10" x14ac:dyDescent="0.25">
      <c r="A155">
        <v>1155</v>
      </c>
      <c r="B155" s="1">
        <v>45504</v>
      </c>
      <c r="C155" t="s">
        <v>9</v>
      </c>
      <c r="D155" t="s">
        <v>12</v>
      </c>
      <c r="E155" t="s">
        <v>17</v>
      </c>
      <c r="F155">
        <f t="shared" ca="1" si="9"/>
        <v>1810</v>
      </c>
      <c r="G155">
        <f t="shared" ca="1" si="10"/>
        <v>1429.9</v>
      </c>
      <c r="H155">
        <f t="shared" ca="1" si="11"/>
        <v>380.09999999999991</v>
      </c>
      <c r="I155" t="str">
        <f t="shared" si="8"/>
        <v>Jul</v>
      </c>
      <c r="J155">
        <f>YEAR(SalesData[[#This Row],[Date]])</f>
        <v>2024</v>
      </c>
    </row>
    <row r="156" spans="1:10" x14ac:dyDescent="0.25">
      <c r="A156">
        <v>1156</v>
      </c>
      <c r="B156" s="1">
        <v>45505</v>
      </c>
      <c r="C156" t="s">
        <v>10</v>
      </c>
      <c r="D156" t="s">
        <v>24</v>
      </c>
      <c r="E156" t="s">
        <v>18</v>
      </c>
      <c r="F156">
        <f t="shared" ca="1" si="9"/>
        <v>407</v>
      </c>
      <c r="G156">
        <f t="shared" ca="1" si="10"/>
        <v>280.83</v>
      </c>
      <c r="H156">
        <f t="shared" ca="1" si="11"/>
        <v>126.17000000000002</v>
      </c>
      <c r="I156" t="str">
        <f t="shared" si="8"/>
        <v>Aug</v>
      </c>
      <c r="J156">
        <f>YEAR(SalesData[[#This Row],[Date]])</f>
        <v>2024</v>
      </c>
    </row>
    <row r="157" spans="1:10" x14ac:dyDescent="0.25">
      <c r="A157">
        <v>1157</v>
      </c>
      <c r="B157" s="1">
        <v>45506</v>
      </c>
      <c r="C157" t="s">
        <v>8</v>
      </c>
      <c r="D157" t="s">
        <v>12</v>
      </c>
      <c r="E157" t="s">
        <v>19</v>
      </c>
      <c r="F157">
        <f t="shared" ca="1" si="9"/>
        <v>370</v>
      </c>
      <c r="G157">
        <f t="shared" ca="1" si="10"/>
        <v>292.3</v>
      </c>
      <c r="H157">
        <f t="shared" ca="1" si="11"/>
        <v>77.699999999999989</v>
      </c>
      <c r="I157" t="str">
        <f t="shared" si="8"/>
        <v>Aug</v>
      </c>
      <c r="J157">
        <f>YEAR(SalesData[[#This Row],[Date]])</f>
        <v>2024</v>
      </c>
    </row>
    <row r="158" spans="1:10" x14ac:dyDescent="0.25">
      <c r="A158">
        <v>1158</v>
      </c>
      <c r="B158" s="1">
        <v>45507</v>
      </c>
      <c r="C158" t="s">
        <v>7</v>
      </c>
      <c r="D158" t="s">
        <v>24</v>
      </c>
      <c r="E158" t="s">
        <v>20</v>
      </c>
      <c r="F158">
        <f t="shared" ca="1" si="9"/>
        <v>900</v>
      </c>
      <c r="G158">
        <f t="shared" ca="1" si="10"/>
        <v>648</v>
      </c>
      <c r="H158">
        <f t="shared" ca="1" si="11"/>
        <v>252</v>
      </c>
      <c r="I158" t="str">
        <f t="shared" si="8"/>
        <v>Aug</v>
      </c>
      <c r="J158">
        <f>YEAR(SalesData[[#This Row],[Date]])</f>
        <v>2024</v>
      </c>
    </row>
    <row r="159" spans="1:10" x14ac:dyDescent="0.25">
      <c r="A159">
        <v>1159</v>
      </c>
      <c r="B159" s="1">
        <v>45508</v>
      </c>
      <c r="C159" t="s">
        <v>9</v>
      </c>
      <c r="D159" t="s">
        <v>13</v>
      </c>
      <c r="E159" t="s">
        <v>21</v>
      </c>
      <c r="F159">
        <f t="shared" ca="1" si="9"/>
        <v>1292</v>
      </c>
      <c r="G159">
        <f t="shared" ca="1" si="10"/>
        <v>658.92</v>
      </c>
      <c r="H159">
        <f t="shared" ca="1" si="11"/>
        <v>633.08000000000004</v>
      </c>
      <c r="I159" t="str">
        <f t="shared" si="8"/>
        <v>Aug</v>
      </c>
      <c r="J159">
        <f>YEAR(SalesData[[#This Row],[Date]])</f>
        <v>2024</v>
      </c>
    </row>
    <row r="160" spans="1:10" x14ac:dyDescent="0.25">
      <c r="A160">
        <v>1160</v>
      </c>
      <c r="B160" s="1">
        <v>45509</v>
      </c>
      <c r="C160" t="s">
        <v>10</v>
      </c>
      <c r="D160" t="s">
        <v>12</v>
      </c>
      <c r="E160" t="s">
        <v>22</v>
      </c>
      <c r="F160">
        <f t="shared" ca="1" si="9"/>
        <v>1721</v>
      </c>
      <c r="G160">
        <f t="shared" ca="1" si="10"/>
        <v>1239.1199999999999</v>
      </c>
      <c r="H160">
        <f t="shared" ca="1" si="11"/>
        <v>481.88000000000011</v>
      </c>
      <c r="I160" t="str">
        <f t="shared" si="8"/>
        <v>Aug</v>
      </c>
      <c r="J160">
        <f>YEAR(SalesData[[#This Row],[Date]])</f>
        <v>2024</v>
      </c>
    </row>
    <row r="161" spans="1:10" x14ac:dyDescent="0.25">
      <c r="A161">
        <v>1161</v>
      </c>
      <c r="B161" s="1">
        <v>45510</v>
      </c>
      <c r="C161" t="s">
        <v>8</v>
      </c>
      <c r="D161" t="s">
        <v>24</v>
      </c>
      <c r="E161" t="s">
        <v>23</v>
      </c>
      <c r="F161">
        <f t="shared" ca="1" si="9"/>
        <v>549</v>
      </c>
      <c r="G161">
        <f t="shared" ca="1" si="10"/>
        <v>296.45999999999998</v>
      </c>
      <c r="H161">
        <f t="shared" ca="1" si="11"/>
        <v>252.54000000000002</v>
      </c>
      <c r="I161" t="str">
        <f t="shared" si="8"/>
        <v>Aug</v>
      </c>
      <c r="J161">
        <f>YEAR(SalesData[[#This Row],[Date]])</f>
        <v>2024</v>
      </c>
    </row>
    <row r="162" spans="1:10" x14ac:dyDescent="0.25">
      <c r="A162">
        <v>1162</v>
      </c>
      <c r="B162" s="1">
        <v>45511</v>
      </c>
      <c r="C162" t="s">
        <v>7</v>
      </c>
      <c r="D162" t="s">
        <v>12</v>
      </c>
      <c r="E162" t="s">
        <v>14</v>
      </c>
      <c r="F162">
        <f t="shared" ca="1" si="9"/>
        <v>1540</v>
      </c>
      <c r="G162">
        <f t="shared" ca="1" si="10"/>
        <v>1062.5999999999999</v>
      </c>
      <c r="H162">
        <f t="shared" ca="1" si="11"/>
        <v>477.40000000000009</v>
      </c>
      <c r="I162" t="str">
        <f t="shared" si="8"/>
        <v>Aug</v>
      </c>
      <c r="J162">
        <f>YEAR(SalesData[[#This Row],[Date]])</f>
        <v>2024</v>
      </c>
    </row>
    <row r="163" spans="1:10" x14ac:dyDescent="0.25">
      <c r="A163">
        <v>1163</v>
      </c>
      <c r="B163" s="1">
        <v>45512</v>
      </c>
      <c r="C163" t="s">
        <v>9</v>
      </c>
      <c r="D163" t="s">
        <v>24</v>
      </c>
      <c r="E163" t="s">
        <v>15</v>
      </c>
      <c r="F163">
        <f t="shared" ca="1" si="9"/>
        <v>616</v>
      </c>
      <c r="G163">
        <f t="shared" ca="1" si="10"/>
        <v>314.16000000000003</v>
      </c>
      <c r="H163">
        <f t="shared" ca="1" si="11"/>
        <v>301.83999999999997</v>
      </c>
      <c r="I163" t="str">
        <f t="shared" si="8"/>
        <v>Aug</v>
      </c>
      <c r="J163">
        <f>YEAR(SalesData[[#This Row],[Date]])</f>
        <v>2024</v>
      </c>
    </row>
    <row r="164" spans="1:10" x14ac:dyDescent="0.25">
      <c r="A164">
        <v>1164</v>
      </c>
      <c r="B164" s="1">
        <v>45513</v>
      </c>
      <c r="C164" t="s">
        <v>10</v>
      </c>
      <c r="D164" t="s">
        <v>13</v>
      </c>
      <c r="E164" t="s">
        <v>16</v>
      </c>
      <c r="F164">
        <f t="shared" ca="1" si="9"/>
        <v>1773</v>
      </c>
      <c r="G164">
        <f t="shared" ca="1" si="10"/>
        <v>1418.4</v>
      </c>
      <c r="H164">
        <f t="shared" ca="1" si="11"/>
        <v>354.59999999999991</v>
      </c>
      <c r="I164" t="str">
        <f t="shared" si="8"/>
        <v>Aug</v>
      </c>
      <c r="J164">
        <f>YEAR(SalesData[[#This Row],[Date]])</f>
        <v>2024</v>
      </c>
    </row>
    <row r="165" spans="1:10" x14ac:dyDescent="0.25">
      <c r="A165">
        <v>1165</v>
      </c>
      <c r="B165" s="1">
        <v>45514</v>
      </c>
      <c r="C165" t="s">
        <v>8</v>
      </c>
      <c r="D165" t="s">
        <v>12</v>
      </c>
      <c r="E165" t="s">
        <v>17</v>
      </c>
      <c r="F165">
        <f t="shared" ca="1" si="9"/>
        <v>957</v>
      </c>
      <c r="G165">
        <f t="shared" ca="1" si="10"/>
        <v>698.61</v>
      </c>
      <c r="H165">
        <f t="shared" ca="1" si="11"/>
        <v>258.39</v>
      </c>
      <c r="I165" t="str">
        <f t="shared" si="8"/>
        <v>Aug</v>
      </c>
      <c r="J165">
        <f>YEAR(SalesData[[#This Row],[Date]])</f>
        <v>2024</v>
      </c>
    </row>
    <row r="166" spans="1:10" x14ac:dyDescent="0.25">
      <c r="A166">
        <v>1166</v>
      </c>
      <c r="B166" s="1">
        <v>45515</v>
      </c>
      <c r="C166" t="s">
        <v>7</v>
      </c>
      <c r="D166" t="s">
        <v>24</v>
      </c>
      <c r="E166" t="s">
        <v>18</v>
      </c>
      <c r="F166">
        <f t="shared" ca="1" si="9"/>
        <v>646</v>
      </c>
      <c r="G166">
        <f t="shared" ca="1" si="10"/>
        <v>510.34</v>
      </c>
      <c r="H166">
        <f t="shared" ca="1" si="11"/>
        <v>135.66000000000003</v>
      </c>
      <c r="I166" t="str">
        <f t="shared" si="8"/>
        <v>Aug</v>
      </c>
      <c r="J166">
        <f>YEAR(SalesData[[#This Row],[Date]])</f>
        <v>2024</v>
      </c>
    </row>
    <row r="167" spans="1:10" x14ac:dyDescent="0.25">
      <c r="A167">
        <v>1167</v>
      </c>
      <c r="B167" s="1">
        <v>45516</v>
      </c>
      <c r="C167" t="s">
        <v>9</v>
      </c>
      <c r="D167" t="s">
        <v>12</v>
      </c>
      <c r="E167" t="s">
        <v>19</v>
      </c>
      <c r="F167">
        <f t="shared" ca="1" si="9"/>
        <v>1632</v>
      </c>
      <c r="G167">
        <f t="shared" ca="1" si="10"/>
        <v>1093.44</v>
      </c>
      <c r="H167">
        <f t="shared" ca="1" si="11"/>
        <v>538.55999999999995</v>
      </c>
      <c r="I167" t="str">
        <f t="shared" si="8"/>
        <v>Aug</v>
      </c>
      <c r="J167">
        <f>YEAR(SalesData[[#This Row],[Date]])</f>
        <v>2024</v>
      </c>
    </row>
    <row r="168" spans="1:10" x14ac:dyDescent="0.25">
      <c r="A168">
        <v>1168</v>
      </c>
      <c r="B168" s="1">
        <v>45517</v>
      </c>
      <c r="C168" t="s">
        <v>10</v>
      </c>
      <c r="D168" t="s">
        <v>24</v>
      </c>
      <c r="E168" t="s">
        <v>20</v>
      </c>
      <c r="F168">
        <f t="shared" ca="1" si="9"/>
        <v>1315</v>
      </c>
      <c r="G168">
        <f t="shared" ca="1" si="10"/>
        <v>894.2</v>
      </c>
      <c r="H168">
        <f t="shared" ca="1" si="11"/>
        <v>420.79999999999995</v>
      </c>
      <c r="I168" t="str">
        <f t="shared" si="8"/>
        <v>Aug</v>
      </c>
      <c r="J168">
        <f>YEAR(SalesData[[#This Row],[Date]])</f>
        <v>2024</v>
      </c>
    </row>
    <row r="169" spans="1:10" x14ac:dyDescent="0.25">
      <c r="A169">
        <v>1169</v>
      </c>
      <c r="B169" s="1">
        <v>45518</v>
      </c>
      <c r="C169" t="s">
        <v>8</v>
      </c>
      <c r="D169" t="s">
        <v>13</v>
      </c>
      <c r="E169" t="s">
        <v>21</v>
      </c>
      <c r="F169">
        <f t="shared" ca="1" si="9"/>
        <v>1167</v>
      </c>
      <c r="G169">
        <f t="shared" ca="1" si="10"/>
        <v>711.87</v>
      </c>
      <c r="H169">
        <f t="shared" ca="1" si="11"/>
        <v>455.13</v>
      </c>
      <c r="I169" t="str">
        <f t="shared" si="8"/>
        <v>Aug</v>
      </c>
      <c r="J169">
        <f>YEAR(SalesData[[#This Row],[Date]])</f>
        <v>2024</v>
      </c>
    </row>
    <row r="170" spans="1:10" x14ac:dyDescent="0.25">
      <c r="A170">
        <v>1170</v>
      </c>
      <c r="B170" s="1">
        <v>45519</v>
      </c>
      <c r="C170" t="s">
        <v>7</v>
      </c>
      <c r="D170" t="s">
        <v>12</v>
      </c>
      <c r="E170" t="s">
        <v>22</v>
      </c>
      <c r="F170">
        <f t="shared" ca="1" si="9"/>
        <v>607</v>
      </c>
      <c r="G170">
        <f t="shared" ca="1" si="10"/>
        <v>412.76</v>
      </c>
      <c r="H170">
        <f t="shared" ca="1" si="11"/>
        <v>194.24</v>
      </c>
      <c r="I170" t="str">
        <f t="shared" si="8"/>
        <v>Aug</v>
      </c>
      <c r="J170">
        <f>YEAR(SalesData[[#This Row],[Date]])</f>
        <v>2024</v>
      </c>
    </row>
    <row r="171" spans="1:10" x14ac:dyDescent="0.25">
      <c r="A171">
        <v>1171</v>
      </c>
      <c r="B171" s="1">
        <v>45520</v>
      </c>
      <c r="C171" t="s">
        <v>9</v>
      </c>
      <c r="D171" t="s">
        <v>24</v>
      </c>
      <c r="E171" t="s">
        <v>23</v>
      </c>
      <c r="F171">
        <f t="shared" ca="1" si="9"/>
        <v>1606</v>
      </c>
      <c r="G171">
        <f t="shared" ca="1" si="10"/>
        <v>1092.08</v>
      </c>
      <c r="H171">
        <f t="shared" ca="1" si="11"/>
        <v>513.92000000000007</v>
      </c>
      <c r="I171" t="str">
        <f t="shared" si="8"/>
        <v>Aug</v>
      </c>
      <c r="J171">
        <f>YEAR(SalesData[[#This Row],[Date]])</f>
        <v>2024</v>
      </c>
    </row>
    <row r="172" spans="1:10" x14ac:dyDescent="0.25">
      <c r="A172">
        <v>1172</v>
      </c>
      <c r="B172" s="1">
        <v>45521</v>
      </c>
      <c r="C172" t="s">
        <v>10</v>
      </c>
      <c r="D172" t="s">
        <v>12</v>
      </c>
      <c r="E172" t="s">
        <v>14</v>
      </c>
      <c r="F172">
        <f t="shared" ca="1" si="9"/>
        <v>1189</v>
      </c>
      <c r="G172">
        <f t="shared" ca="1" si="10"/>
        <v>796.63</v>
      </c>
      <c r="H172">
        <f t="shared" ca="1" si="11"/>
        <v>392.37</v>
      </c>
      <c r="I172" t="str">
        <f t="shared" si="8"/>
        <v>Aug</v>
      </c>
      <c r="J172">
        <f>YEAR(SalesData[[#This Row],[Date]])</f>
        <v>2024</v>
      </c>
    </row>
    <row r="173" spans="1:10" x14ac:dyDescent="0.25">
      <c r="A173">
        <v>1173</v>
      </c>
      <c r="B173" s="1">
        <v>45522</v>
      </c>
      <c r="C173" t="s">
        <v>8</v>
      </c>
      <c r="D173" t="s">
        <v>24</v>
      </c>
      <c r="E173" t="s">
        <v>15</v>
      </c>
      <c r="F173">
        <f t="shared" ca="1" si="9"/>
        <v>677</v>
      </c>
      <c r="G173">
        <f t="shared" ca="1" si="10"/>
        <v>521.29</v>
      </c>
      <c r="H173">
        <f t="shared" ca="1" si="11"/>
        <v>155.71000000000004</v>
      </c>
      <c r="I173" t="str">
        <f t="shared" si="8"/>
        <v>Aug</v>
      </c>
      <c r="J173">
        <f>YEAR(SalesData[[#This Row],[Date]])</f>
        <v>2024</v>
      </c>
    </row>
    <row r="174" spans="1:10" x14ac:dyDescent="0.25">
      <c r="A174">
        <v>1174</v>
      </c>
      <c r="B174" s="1">
        <v>45523</v>
      </c>
      <c r="C174" t="s">
        <v>7</v>
      </c>
      <c r="D174" t="s">
        <v>13</v>
      </c>
      <c r="E174" t="s">
        <v>16</v>
      </c>
      <c r="F174">
        <f t="shared" ca="1" si="9"/>
        <v>506</v>
      </c>
      <c r="G174">
        <f t="shared" ca="1" si="10"/>
        <v>293.48</v>
      </c>
      <c r="H174">
        <f t="shared" ca="1" si="11"/>
        <v>212.51999999999998</v>
      </c>
      <c r="I174" t="str">
        <f t="shared" si="8"/>
        <v>Aug</v>
      </c>
      <c r="J174">
        <f>YEAR(SalesData[[#This Row],[Date]])</f>
        <v>2024</v>
      </c>
    </row>
    <row r="175" spans="1:10" x14ac:dyDescent="0.25">
      <c r="A175">
        <v>1175</v>
      </c>
      <c r="B175" s="1">
        <v>45524</v>
      </c>
      <c r="C175" t="s">
        <v>9</v>
      </c>
      <c r="D175" t="s">
        <v>12</v>
      </c>
      <c r="E175" t="s">
        <v>17</v>
      </c>
      <c r="F175">
        <f t="shared" ca="1" si="9"/>
        <v>360</v>
      </c>
      <c r="G175">
        <f t="shared" ca="1" si="10"/>
        <v>183.6</v>
      </c>
      <c r="H175">
        <f t="shared" ca="1" si="11"/>
        <v>176.4</v>
      </c>
      <c r="I175" t="str">
        <f t="shared" si="8"/>
        <v>Aug</v>
      </c>
      <c r="J175">
        <f>YEAR(SalesData[[#This Row],[Date]])</f>
        <v>2024</v>
      </c>
    </row>
    <row r="176" spans="1:10" x14ac:dyDescent="0.25">
      <c r="A176">
        <v>1176</v>
      </c>
      <c r="B176" s="1">
        <v>45525</v>
      </c>
      <c r="C176" t="s">
        <v>10</v>
      </c>
      <c r="D176" t="s">
        <v>24</v>
      </c>
      <c r="E176" t="s">
        <v>18</v>
      </c>
      <c r="F176">
        <f t="shared" ca="1" si="9"/>
        <v>1428</v>
      </c>
      <c r="G176">
        <f t="shared" ca="1" si="10"/>
        <v>742.56</v>
      </c>
      <c r="H176">
        <f t="shared" ca="1" si="11"/>
        <v>685.44</v>
      </c>
      <c r="I176" t="str">
        <f t="shared" si="8"/>
        <v>Aug</v>
      </c>
      <c r="J176">
        <f>YEAR(SalesData[[#This Row],[Date]])</f>
        <v>2024</v>
      </c>
    </row>
    <row r="177" spans="1:10" x14ac:dyDescent="0.25">
      <c r="A177">
        <v>1177</v>
      </c>
      <c r="B177" s="1">
        <v>45526</v>
      </c>
      <c r="C177" t="s">
        <v>8</v>
      </c>
      <c r="D177" t="s">
        <v>12</v>
      </c>
      <c r="E177" t="s">
        <v>19</v>
      </c>
      <c r="F177">
        <f t="shared" ca="1" si="9"/>
        <v>1032</v>
      </c>
      <c r="G177">
        <f t="shared" ca="1" si="10"/>
        <v>774</v>
      </c>
      <c r="H177">
        <f t="shared" ca="1" si="11"/>
        <v>258</v>
      </c>
      <c r="I177" t="str">
        <f t="shared" si="8"/>
        <v>Aug</v>
      </c>
      <c r="J177">
        <f>YEAR(SalesData[[#This Row],[Date]])</f>
        <v>2024</v>
      </c>
    </row>
    <row r="178" spans="1:10" x14ac:dyDescent="0.25">
      <c r="A178">
        <v>1178</v>
      </c>
      <c r="B178" s="1">
        <v>45527</v>
      </c>
      <c r="C178" t="s">
        <v>7</v>
      </c>
      <c r="D178" t="s">
        <v>24</v>
      </c>
      <c r="E178" t="s">
        <v>20</v>
      </c>
      <c r="F178">
        <f t="shared" ca="1" si="9"/>
        <v>1341</v>
      </c>
      <c r="G178">
        <f t="shared" ca="1" si="10"/>
        <v>871.65</v>
      </c>
      <c r="H178">
        <f t="shared" ca="1" si="11"/>
        <v>469.35</v>
      </c>
      <c r="I178" t="str">
        <f t="shared" si="8"/>
        <v>Aug</v>
      </c>
      <c r="J178">
        <f>YEAR(SalesData[[#This Row],[Date]])</f>
        <v>2024</v>
      </c>
    </row>
    <row r="179" spans="1:10" x14ac:dyDescent="0.25">
      <c r="A179">
        <v>1179</v>
      </c>
      <c r="B179" s="1">
        <v>45528</v>
      </c>
      <c r="C179" t="s">
        <v>9</v>
      </c>
      <c r="D179" t="s">
        <v>13</v>
      </c>
      <c r="E179" t="s">
        <v>21</v>
      </c>
      <c r="F179">
        <f t="shared" ca="1" si="9"/>
        <v>1559</v>
      </c>
      <c r="G179">
        <f t="shared" ca="1" si="10"/>
        <v>1075.71</v>
      </c>
      <c r="H179">
        <f t="shared" ca="1" si="11"/>
        <v>483.28999999999996</v>
      </c>
      <c r="I179" t="str">
        <f t="shared" si="8"/>
        <v>Aug</v>
      </c>
      <c r="J179">
        <f>YEAR(SalesData[[#This Row],[Date]])</f>
        <v>2024</v>
      </c>
    </row>
    <row r="180" spans="1:10" x14ac:dyDescent="0.25">
      <c r="A180">
        <v>1180</v>
      </c>
      <c r="B180" s="1">
        <v>45529</v>
      </c>
      <c r="C180" t="s">
        <v>10</v>
      </c>
      <c r="D180" t="s">
        <v>12</v>
      </c>
      <c r="E180" t="s">
        <v>22</v>
      </c>
      <c r="F180">
        <f t="shared" ca="1" si="9"/>
        <v>507</v>
      </c>
      <c r="G180">
        <f t="shared" ca="1" si="10"/>
        <v>258.57</v>
      </c>
      <c r="H180">
        <f t="shared" ca="1" si="11"/>
        <v>248.43</v>
      </c>
      <c r="I180" t="str">
        <f t="shared" si="8"/>
        <v>Aug</v>
      </c>
      <c r="J180">
        <f>YEAR(SalesData[[#This Row],[Date]])</f>
        <v>2024</v>
      </c>
    </row>
    <row r="181" spans="1:10" x14ac:dyDescent="0.25">
      <c r="A181">
        <v>1181</v>
      </c>
      <c r="B181" s="1">
        <v>45530</v>
      </c>
      <c r="C181" t="s">
        <v>8</v>
      </c>
      <c r="D181" t="s">
        <v>24</v>
      </c>
      <c r="E181" t="s">
        <v>23</v>
      </c>
      <c r="F181">
        <f t="shared" ca="1" si="9"/>
        <v>529</v>
      </c>
      <c r="G181">
        <f t="shared" ca="1" si="10"/>
        <v>407.33</v>
      </c>
      <c r="H181">
        <f t="shared" ca="1" si="11"/>
        <v>121.67000000000002</v>
      </c>
      <c r="I181" t="str">
        <f t="shared" si="8"/>
        <v>Aug</v>
      </c>
      <c r="J181">
        <f>YEAR(SalesData[[#This Row],[Date]])</f>
        <v>2024</v>
      </c>
    </row>
    <row r="182" spans="1:10" x14ac:dyDescent="0.25">
      <c r="A182">
        <v>1182</v>
      </c>
      <c r="B182" s="1">
        <v>45531</v>
      </c>
      <c r="C182" t="s">
        <v>7</v>
      </c>
      <c r="D182" t="s">
        <v>12</v>
      </c>
      <c r="E182" t="s">
        <v>14</v>
      </c>
      <c r="F182">
        <f t="shared" ca="1" si="9"/>
        <v>1277</v>
      </c>
      <c r="G182">
        <f t="shared" ca="1" si="10"/>
        <v>983.29</v>
      </c>
      <c r="H182">
        <f t="shared" ca="1" si="11"/>
        <v>293.71000000000004</v>
      </c>
      <c r="I182" t="str">
        <f t="shared" si="8"/>
        <v>Aug</v>
      </c>
      <c r="J182">
        <f>YEAR(SalesData[[#This Row],[Date]])</f>
        <v>2024</v>
      </c>
    </row>
    <row r="183" spans="1:10" x14ac:dyDescent="0.25">
      <c r="A183">
        <v>1183</v>
      </c>
      <c r="B183" s="1">
        <v>45532</v>
      </c>
      <c r="C183" t="s">
        <v>9</v>
      </c>
      <c r="D183" t="s">
        <v>24</v>
      </c>
      <c r="E183" t="s">
        <v>15</v>
      </c>
      <c r="F183">
        <f t="shared" ca="1" si="9"/>
        <v>325</v>
      </c>
      <c r="G183">
        <f t="shared" ca="1" si="10"/>
        <v>247</v>
      </c>
      <c r="H183">
        <f t="shared" ca="1" si="11"/>
        <v>78</v>
      </c>
      <c r="I183" t="str">
        <f t="shared" si="8"/>
        <v>Aug</v>
      </c>
      <c r="J183">
        <f>YEAR(SalesData[[#This Row],[Date]])</f>
        <v>2024</v>
      </c>
    </row>
    <row r="184" spans="1:10" x14ac:dyDescent="0.25">
      <c r="A184">
        <v>1184</v>
      </c>
      <c r="B184" s="1">
        <v>45533</v>
      </c>
      <c r="C184" t="s">
        <v>10</v>
      </c>
      <c r="D184" t="s">
        <v>13</v>
      </c>
      <c r="E184" t="s">
        <v>16</v>
      </c>
      <c r="F184">
        <f t="shared" ca="1" si="9"/>
        <v>570</v>
      </c>
      <c r="G184">
        <f t="shared" ca="1" si="10"/>
        <v>438.9</v>
      </c>
      <c r="H184">
        <f t="shared" ca="1" si="11"/>
        <v>131.10000000000002</v>
      </c>
      <c r="I184" t="str">
        <f t="shared" si="8"/>
        <v>Aug</v>
      </c>
      <c r="J184">
        <f>YEAR(SalesData[[#This Row],[Date]])</f>
        <v>2024</v>
      </c>
    </row>
    <row r="185" spans="1:10" x14ac:dyDescent="0.25">
      <c r="A185">
        <v>1185</v>
      </c>
      <c r="B185" s="1">
        <v>45534</v>
      </c>
      <c r="C185" t="s">
        <v>8</v>
      </c>
      <c r="D185" t="s">
        <v>12</v>
      </c>
      <c r="E185" t="s">
        <v>17</v>
      </c>
      <c r="F185">
        <f t="shared" ca="1" si="9"/>
        <v>1405</v>
      </c>
      <c r="G185">
        <f t="shared" ca="1" si="10"/>
        <v>871.1</v>
      </c>
      <c r="H185">
        <f t="shared" ca="1" si="11"/>
        <v>533.9</v>
      </c>
      <c r="I185" t="str">
        <f t="shared" si="8"/>
        <v>Aug</v>
      </c>
      <c r="J185">
        <f>YEAR(SalesData[[#This Row],[Date]])</f>
        <v>2024</v>
      </c>
    </row>
    <row r="186" spans="1:10" x14ac:dyDescent="0.25">
      <c r="A186">
        <v>1186</v>
      </c>
      <c r="B186" s="1">
        <v>45535</v>
      </c>
      <c r="C186" t="s">
        <v>7</v>
      </c>
      <c r="D186" t="s">
        <v>24</v>
      </c>
      <c r="E186" t="s">
        <v>18</v>
      </c>
      <c r="F186">
        <f t="shared" ca="1" si="9"/>
        <v>587</v>
      </c>
      <c r="G186">
        <f t="shared" ca="1" si="10"/>
        <v>434.38</v>
      </c>
      <c r="H186">
        <f t="shared" ca="1" si="11"/>
        <v>152.62</v>
      </c>
      <c r="I186" t="str">
        <f t="shared" si="8"/>
        <v>Aug</v>
      </c>
      <c r="J186">
        <f>YEAR(SalesData[[#This Row],[Date]])</f>
        <v>2024</v>
      </c>
    </row>
    <row r="187" spans="1:10" x14ac:dyDescent="0.25">
      <c r="A187">
        <v>1187</v>
      </c>
      <c r="B187" s="1">
        <v>45536</v>
      </c>
      <c r="C187" t="s">
        <v>9</v>
      </c>
      <c r="D187" t="s">
        <v>12</v>
      </c>
      <c r="E187" t="s">
        <v>19</v>
      </c>
      <c r="F187">
        <f t="shared" ca="1" si="9"/>
        <v>560</v>
      </c>
      <c r="G187">
        <f t="shared" ca="1" si="10"/>
        <v>308</v>
      </c>
      <c r="H187">
        <f t="shared" ca="1" si="11"/>
        <v>252</v>
      </c>
      <c r="I187" t="str">
        <f t="shared" si="8"/>
        <v>Sep</v>
      </c>
      <c r="J187">
        <f>YEAR(SalesData[[#This Row],[Date]])</f>
        <v>2024</v>
      </c>
    </row>
    <row r="188" spans="1:10" x14ac:dyDescent="0.25">
      <c r="A188">
        <v>1188</v>
      </c>
      <c r="B188" s="1">
        <v>45537</v>
      </c>
      <c r="C188" t="s">
        <v>10</v>
      </c>
      <c r="D188" t="s">
        <v>24</v>
      </c>
      <c r="E188" t="s">
        <v>20</v>
      </c>
      <c r="F188">
        <f t="shared" ca="1" si="9"/>
        <v>481</v>
      </c>
      <c r="G188">
        <f t="shared" ca="1" si="10"/>
        <v>370.37</v>
      </c>
      <c r="H188">
        <f t="shared" ca="1" si="11"/>
        <v>110.63</v>
      </c>
      <c r="I188" t="str">
        <f t="shared" si="8"/>
        <v>Sep</v>
      </c>
      <c r="J188">
        <f>YEAR(SalesData[[#This Row],[Date]])</f>
        <v>2024</v>
      </c>
    </row>
    <row r="189" spans="1:10" x14ac:dyDescent="0.25">
      <c r="A189">
        <v>1189</v>
      </c>
      <c r="B189" s="1">
        <v>45538</v>
      </c>
      <c r="C189" t="s">
        <v>8</v>
      </c>
      <c r="D189" t="s">
        <v>13</v>
      </c>
      <c r="E189" t="s">
        <v>21</v>
      </c>
      <c r="F189">
        <f t="shared" ca="1" si="9"/>
        <v>618</v>
      </c>
      <c r="G189">
        <f t="shared" ca="1" si="10"/>
        <v>488.22</v>
      </c>
      <c r="H189">
        <f t="shared" ca="1" si="11"/>
        <v>129.77999999999997</v>
      </c>
      <c r="I189" t="str">
        <f t="shared" si="8"/>
        <v>Sep</v>
      </c>
      <c r="J189">
        <f>YEAR(SalesData[[#This Row],[Date]])</f>
        <v>2024</v>
      </c>
    </row>
    <row r="190" spans="1:10" x14ac:dyDescent="0.25">
      <c r="A190">
        <v>1190</v>
      </c>
      <c r="B190" s="1">
        <v>45539</v>
      </c>
      <c r="C190" t="s">
        <v>7</v>
      </c>
      <c r="D190" t="s">
        <v>12</v>
      </c>
      <c r="E190" t="s">
        <v>22</v>
      </c>
      <c r="F190">
        <f t="shared" ca="1" si="9"/>
        <v>549</v>
      </c>
      <c r="G190">
        <f t="shared" ca="1" si="10"/>
        <v>395.28</v>
      </c>
      <c r="H190">
        <f t="shared" ca="1" si="11"/>
        <v>153.72000000000003</v>
      </c>
      <c r="I190" t="str">
        <f t="shared" si="8"/>
        <v>Sep</v>
      </c>
      <c r="J190">
        <f>YEAR(SalesData[[#This Row],[Date]])</f>
        <v>2024</v>
      </c>
    </row>
    <row r="191" spans="1:10" x14ac:dyDescent="0.25">
      <c r="A191">
        <v>1191</v>
      </c>
      <c r="B191" s="1">
        <v>45540</v>
      </c>
      <c r="C191" t="s">
        <v>9</v>
      </c>
      <c r="D191" t="s">
        <v>24</v>
      </c>
      <c r="E191" t="s">
        <v>23</v>
      </c>
      <c r="F191">
        <f t="shared" ca="1" si="9"/>
        <v>1772</v>
      </c>
      <c r="G191">
        <f t="shared" ca="1" si="10"/>
        <v>1240.4000000000001</v>
      </c>
      <c r="H191">
        <f t="shared" ca="1" si="11"/>
        <v>531.59999999999991</v>
      </c>
      <c r="I191" t="str">
        <f t="shared" si="8"/>
        <v>Sep</v>
      </c>
      <c r="J191">
        <f>YEAR(SalesData[[#This Row],[Date]])</f>
        <v>2024</v>
      </c>
    </row>
    <row r="192" spans="1:10" x14ac:dyDescent="0.25">
      <c r="A192">
        <v>1192</v>
      </c>
      <c r="B192" s="1">
        <v>45541</v>
      </c>
      <c r="C192" t="s">
        <v>10</v>
      </c>
      <c r="D192" t="s">
        <v>12</v>
      </c>
      <c r="E192" t="s">
        <v>14</v>
      </c>
      <c r="F192">
        <f t="shared" ca="1" si="9"/>
        <v>1367</v>
      </c>
      <c r="G192">
        <f t="shared" ca="1" si="10"/>
        <v>1011.58</v>
      </c>
      <c r="H192">
        <f t="shared" ca="1" si="11"/>
        <v>355.41999999999996</v>
      </c>
      <c r="I192" t="str">
        <f t="shared" si="8"/>
        <v>Sep</v>
      </c>
      <c r="J192">
        <f>YEAR(SalesData[[#This Row],[Date]])</f>
        <v>2024</v>
      </c>
    </row>
    <row r="193" spans="1:10" x14ac:dyDescent="0.25">
      <c r="A193">
        <v>1193</v>
      </c>
      <c r="B193" s="1">
        <v>45542</v>
      </c>
      <c r="C193" t="s">
        <v>8</v>
      </c>
      <c r="D193" t="s">
        <v>24</v>
      </c>
      <c r="E193" t="s">
        <v>15</v>
      </c>
      <c r="F193">
        <f t="shared" ca="1" si="9"/>
        <v>1467</v>
      </c>
      <c r="G193">
        <f t="shared" ca="1" si="10"/>
        <v>968.22</v>
      </c>
      <c r="H193">
        <f t="shared" ca="1" si="11"/>
        <v>498.78</v>
      </c>
      <c r="I193" t="str">
        <f t="shared" si="8"/>
        <v>Sep</v>
      </c>
      <c r="J193">
        <f>YEAR(SalesData[[#This Row],[Date]])</f>
        <v>2024</v>
      </c>
    </row>
    <row r="194" spans="1:10" x14ac:dyDescent="0.25">
      <c r="A194">
        <v>1194</v>
      </c>
      <c r="B194" s="1">
        <v>45543</v>
      </c>
      <c r="C194" t="s">
        <v>7</v>
      </c>
      <c r="D194" t="s">
        <v>13</v>
      </c>
      <c r="E194" t="s">
        <v>16</v>
      </c>
      <c r="F194">
        <f t="shared" ca="1" si="9"/>
        <v>1711</v>
      </c>
      <c r="G194">
        <f t="shared" ca="1" si="10"/>
        <v>1266.1400000000001</v>
      </c>
      <c r="H194">
        <f t="shared" ca="1" si="11"/>
        <v>444.8599999999999</v>
      </c>
      <c r="I194" t="str">
        <f t="shared" ref="I194:I257" si="12">TEXT(B194,"mmm")</f>
        <v>Sep</v>
      </c>
      <c r="J194">
        <f>YEAR(SalesData[[#This Row],[Date]])</f>
        <v>2024</v>
      </c>
    </row>
    <row r="195" spans="1:10" x14ac:dyDescent="0.25">
      <c r="A195">
        <v>1195</v>
      </c>
      <c r="B195" s="1">
        <v>45544</v>
      </c>
      <c r="C195" t="s">
        <v>9</v>
      </c>
      <c r="D195" t="s">
        <v>12</v>
      </c>
      <c r="E195" t="s">
        <v>17</v>
      </c>
      <c r="F195">
        <f t="shared" ref="F195:F258" ca="1" si="13">RANDBETWEEN(300,2000)</f>
        <v>821</v>
      </c>
      <c r="G195">
        <f t="shared" ref="G195:G258" ca="1" si="14">F195*RANDBETWEEN(50,80)/100</f>
        <v>492.6</v>
      </c>
      <c r="H195">
        <f t="shared" ref="H195:H258" ca="1" si="15">F195-G195</f>
        <v>328.4</v>
      </c>
      <c r="I195" t="str">
        <f t="shared" si="12"/>
        <v>Sep</v>
      </c>
      <c r="J195">
        <f>YEAR(SalesData[[#This Row],[Date]])</f>
        <v>2024</v>
      </c>
    </row>
    <row r="196" spans="1:10" x14ac:dyDescent="0.25">
      <c r="A196">
        <v>1196</v>
      </c>
      <c r="B196" s="1">
        <v>45545</v>
      </c>
      <c r="C196" t="s">
        <v>10</v>
      </c>
      <c r="D196" t="s">
        <v>24</v>
      </c>
      <c r="E196" t="s">
        <v>18</v>
      </c>
      <c r="F196">
        <f t="shared" ca="1" si="13"/>
        <v>1223</v>
      </c>
      <c r="G196">
        <f t="shared" ca="1" si="14"/>
        <v>831.64</v>
      </c>
      <c r="H196">
        <f t="shared" ca="1" si="15"/>
        <v>391.36</v>
      </c>
      <c r="I196" t="str">
        <f t="shared" si="12"/>
        <v>Sep</v>
      </c>
      <c r="J196">
        <f>YEAR(SalesData[[#This Row],[Date]])</f>
        <v>2024</v>
      </c>
    </row>
    <row r="197" spans="1:10" x14ac:dyDescent="0.25">
      <c r="A197">
        <v>1197</v>
      </c>
      <c r="B197" s="1">
        <v>45546</v>
      </c>
      <c r="C197" t="s">
        <v>8</v>
      </c>
      <c r="D197" t="s">
        <v>12</v>
      </c>
      <c r="E197" t="s">
        <v>19</v>
      </c>
      <c r="F197">
        <f t="shared" ca="1" si="13"/>
        <v>697</v>
      </c>
      <c r="G197">
        <f t="shared" ca="1" si="14"/>
        <v>494.87</v>
      </c>
      <c r="H197">
        <f t="shared" ca="1" si="15"/>
        <v>202.13</v>
      </c>
      <c r="I197" t="str">
        <f t="shared" si="12"/>
        <v>Sep</v>
      </c>
      <c r="J197">
        <f>YEAR(SalesData[[#This Row],[Date]])</f>
        <v>2024</v>
      </c>
    </row>
    <row r="198" spans="1:10" x14ac:dyDescent="0.25">
      <c r="A198">
        <v>1198</v>
      </c>
      <c r="B198" s="1">
        <v>45547</v>
      </c>
      <c r="C198" t="s">
        <v>7</v>
      </c>
      <c r="D198" t="s">
        <v>24</v>
      </c>
      <c r="E198" t="s">
        <v>20</v>
      </c>
      <c r="F198">
        <f t="shared" ca="1" si="13"/>
        <v>999</v>
      </c>
      <c r="G198">
        <f t="shared" ca="1" si="14"/>
        <v>539.46</v>
      </c>
      <c r="H198">
        <f t="shared" ca="1" si="15"/>
        <v>459.53999999999996</v>
      </c>
      <c r="I198" t="str">
        <f t="shared" si="12"/>
        <v>Sep</v>
      </c>
      <c r="J198">
        <f>YEAR(SalesData[[#This Row],[Date]])</f>
        <v>2024</v>
      </c>
    </row>
    <row r="199" spans="1:10" x14ac:dyDescent="0.25">
      <c r="A199">
        <v>1199</v>
      </c>
      <c r="B199" s="1">
        <v>45548</v>
      </c>
      <c r="C199" t="s">
        <v>9</v>
      </c>
      <c r="D199" t="s">
        <v>13</v>
      </c>
      <c r="E199" t="s">
        <v>21</v>
      </c>
      <c r="F199">
        <f t="shared" ca="1" si="13"/>
        <v>1990</v>
      </c>
      <c r="G199">
        <f t="shared" ca="1" si="14"/>
        <v>1034.8</v>
      </c>
      <c r="H199">
        <f t="shared" ca="1" si="15"/>
        <v>955.2</v>
      </c>
      <c r="I199" t="str">
        <f t="shared" si="12"/>
        <v>Sep</v>
      </c>
      <c r="J199">
        <f>YEAR(SalesData[[#This Row],[Date]])</f>
        <v>2024</v>
      </c>
    </row>
    <row r="200" spans="1:10" x14ac:dyDescent="0.25">
      <c r="A200">
        <v>1200</v>
      </c>
      <c r="B200" s="1">
        <v>45549</v>
      </c>
      <c r="C200" t="s">
        <v>10</v>
      </c>
      <c r="D200" t="s">
        <v>12</v>
      </c>
      <c r="E200" t="s">
        <v>22</v>
      </c>
      <c r="F200">
        <f t="shared" ca="1" si="13"/>
        <v>1805</v>
      </c>
      <c r="G200">
        <f t="shared" ca="1" si="14"/>
        <v>1317.65</v>
      </c>
      <c r="H200">
        <f t="shared" ca="1" si="15"/>
        <v>487.34999999999991</v>
      </c>
      <c r="I200" t="str">
        <f t="shared" si="12"/>
        <v>Sep</v>
      </c>
      <c r="J200">
        <f>YEAR(SalesData[[#This Row],[Date]])</f>
        <v>2024</v>
      </c>
    </row>
    <row r="201" spans="1:10" x14ac:dyDescent="0.25">
      <c r="A201">
        <v>1201</v>
      </c>
      <c r="B201" s="1">
        <v>45550</v>
      </c>
      <c r="C201" t="s">
        <v>8</v>
      </c>
      <c r="D201" t="s">
        <v>24</v>
      </c>
      <c r="E201" t="s">
        <v>23</v>
      </c>
      <c r="F201">
        <f t="shared" ca="1" si="13"/>
        <v>1416</v>
      </c>
      <c r="G201">
        <f t="shared" ca="1" si="14"/>
        <v>906.24</v>
      </c>
      <c r="H201">
        <f t="shared" ca="1" si="15"/>
        <v>509.76</v>
      </c>
      <c r="I201" t="str">
        <f t="shared" si="12"/>
        <v>Sep</v>
      </c>
      <c r="J201">
        <f>YEAR(SalesData[[#This Row],[Date]])</f>
        <v>2024</v>
      </c>
    </row>
    <row r="202" spans="1:10" x14ac:dyDescent="0.25">
      <c r="A202">
        <v>1202</v>
      </c>
      <c r="B202" s="1">
        <v>45551</v>
      </c>
      <c r="C202" t="s">
        <v>7</v>
      </c>
      <c r="D202" t="s">
        <v>12</v>
      </c>
      <c r="E202" t="s">
        <v>14</v>
      </c>
      <c r="F202">
        <f t="shared" ca="1" si="13"/>
        <v>1345</v>
      </c>
      <c r="G202">
        <f t="shared" ca="1" si="14"/>
        <v>780.1</v>
      </c>
      <c r="H202">
        <f t="shared" ca="1" si="15"/>
        <v>564.9</v>
      </c>
      <c r="I202" t="str">
        <f t="shared" si="12"/>
        <v>Sep</v>
      </c>
      <c r="J202">
        <f>YEAR(SalesData[[#This Row],[Date]])</f>
        <v>2024</v>
      </c>
    </row>
    <row r="203" spans="1:10" x14ac:dyDescent="0.25">
      <c r="A203">
        <v>1203</v>
      </c>
      <c r="B203" s="1">
        <v>45552</v>
      </c>
      <c r="C203" t="s">
        <v>9</v>
      </c>
      <c r="D203" t="s">
        <v>24</v>
      </c>
      <c r="E203" t="s">
        <v>15</v>
      </c>
      <c r="F203">
        <f t="shared" ca="1" si="13"/>
        <v>900</v>
      </c>
      <c r="G203">
        <f t="shared" ca="1" si="14"/>
        <v>495</v>
      </c>
      <c r="H203">
        <f t="shared" ca="1" si="15"/>
        <v>405</v>
      </c>
      <c r="I203" t="str">
        <f t="shared" si="12"/>
        <v>Sep</v>
      </c>
      <c r="J203">
        <f>YEAR(SalesData[[#This Row],[Date]])</f>
        <v>2024</v>
      </c>
    </row>
    <row r="204" spans="1:10" x14ac:dyDescent="0.25">
      <c r="A204">
        <v>1204</v>
      </c>
      <c r="B204" s="1">
        <v>45553</v>
      </c>
      <c r="C204" t="s">
        <v>10</v>
      </c>
      <c r="D204" t="s">
        <v>13</v>
      </c>
      <c r="E204" t="s">
        <v>16</v>
      </c>
      <c r="F204">
        <f t="shared" ca="1" si="13"/>
        <v>1368</v>
      </c>
      <c r="G204">
        <f t="shared" ca="1" si="14"/>
        <v>943.92</v>
      </c>
      <c r="H204">
        <f t="shared" ca="1" si="15"/>
        <v>424.08000000000004</v>
      </c>
      <c r="I204" t="str">
        <f t="shared" si="12"/>
        <v>Sep</v>
      </c>
      <c r="J204">
        <f>YEAR(SalesData[[#This Row],[Date]])</f>
        <v>2024</v>
      </c>
    </row>
    <row r="205" spans="1:10" x14ac:dyDescent="0.25">
      <c r="A205">
        <v>1205</v>
      </c>
      <c r="B205" s="1">
        <v>45554</v>
      </c>
      <c r="C205" t="s">
        <v>8</v>
      </c>
      <c r="D205" t="s">
        <v>12</v>
      </c>
      <c r="E205" t="s">
        <v>17</v>
      </c>
      <c r="F205">
        <f t="shared" ca="1" si="13"/>
        <v>1125</v>
      </c>
      <c r="G205">
        <f t="shared" ca="1" si="14"/>
        <v>641.25</v>
      </c>
      <c r="H205">
        <f t="shared" ca="1" si="15"/>
        <v>483.75</v>
      </c>
      <c r="I205" t="str">
        <f t="shared" si="12"/>
        <v>Sep</v>
      </c>
      <c r="J205">
        <f>YEAR(SalesData[[#This Row],[Date]])</f>
        <v>2024</v>
      </c>
    </row>
    <row r="206" spans="1:10" x14ac:dyDescent="0.25">
      <c r="A206">
        <v>1206</v>
      </c>
      <c r="B206" s="1">
        <v>45555</v>
      </c>
      <c r="C206" t="s">
        <v>7</v>
      </c>
      <c r="D206" t="s">
        <v>24</v>
      </c>
      <c r="E206" t="s">
        <v>18</v>
      </c>
      <c r="F206">
        <f t="shared" ca="1" si="13"/>
        <v>1154</v>
      </c>
      <c r="G206">
        <f t="shared" ca="1" si="14"/>
        <v>738.56</v>
      </c>
      <c r="H206">
        <f t="shared" ca="1" si="15"/>
        <v>415.44000000000005</v>
      </c>
      <c r="I206" t="str">
        <f t="shared" si="12"/>
        <v>Sep</v>
      </c>
      <c r="J206">
        <f>YEAR(SalesData[[#This Row],[Date]])</f>
        <v>2024</v>
      </c>
    </row>
    <row r="207" spans="1:10" x14ac:dyDescent="0.25">
      <c r="A207">
        <v>1207</v>
      </c>
      <c r="B207" s="1">
        <v>45556</v>
      </c>
      <c r="C207" t="s">
        <v>9</v>
      </c>
      <c r="D207" t="s">
        <v>12</v>
      </c>
      <c r="E207" t="s">
        <v>19</v>
      </c>
      <c r="F207">
        <f t="shared" ca="1" si="13"/>
        <v>1802</v>
      </c>
      <c r="G207">
        <f t="shared" ca="1" si="14"/>
        <v>1027.1400000000001</v>
      </c>
      <c r="H207">
        <f t="shared" ca="1" si="15"/>
        <v>774.8599999999999</v>
      </c>
      <c r="I207" t="str">
        <f t="shared" si="12"/>
        <v>Sep</v>
      </c>
      <c r="J207">
        <f>YEAR(SalesData[[#This Row],[Date]])</f>
        <v>2024</v>
      </c>
    </row>
    <row r="208" spans="1:10" x14ac:dyDescent="0.25">
      <c r="A208">
        <v>1208</v>
      </c>
      <c r="B208" s="1">
        <v>45557</v>
      </c>
      <c r="C208" t="s">
        <v>10</v>
      </c>
      <c r="D208" t="s">
        <v>24</v>
      </c>
      <c r="E208" t="s">
        <v>20</v>
      </c>
      <c r="F208">
        <f t="shared" ca="1" si="13"/>
        <v>1667</v>
      </c>
      <c r="G208">
        <f t="shared" ca="1" si="14"/>
        <v>1266.92</v>
      </c>
      <c r="H208">
        <f t="shared" ca="1" si="15"/>
        <v>400.07999999999993</v>
      </c>
      <c r="I208" t="str">
        <f t="shared" si="12"/>
        <v>Sep</v>
      </c>
      <c r="J208">
        <f>YEAR(SalesData[[#This Row],[Date]])</f>
        <v>2024</v>
      </c>
    </row>
    <row r="209" spans="1:10" x14ac:dyDescent="0.25">
      <c r="A209">
        <v>1209</v>
      </c>
      <c r="B209" s="1">
        <v>45558</v>
      </c>
      <c r="C209" t="s">
        <v>8</v>
      </c>
      <c r="D209" t="s">
        <v>13</v>
      </c>
      <c r="E209" t="s">
        <v>21</v>
      </c>
      <c r="F209">
        <f t="shared" ca="1" si="13"/>
        <v>1596</v>
      </c>
      <c r="G209">
        <f t="shared" ca="1" si="14"/>
        <v>845.88</v>
      </c>
      <c r="H209">
        <f t="shared" ca="1" si="15"/>
        <v>750.12</v>
      </c>
      <c r="I209" t="str">
        <f t="shared" si="12"/>
        <v>Sep</v>
      </c>
      <c r="J209">
        <f>YEAR(SalesData[[#This Row],[Date]])</f>
        <v>2024</v>
      </c>
    </row>
    <row r="210" spans="1:10" x14ac:dyDescent="0.25">
      <c r="A210">
        <v>1210</v>
      </c>
      <c r="B210" s="1">
        <v>45559</v>
      </c>
      <c r="C210" t="s">
        <v>7</v>
      </c>
      <c r="D210" t="s">
        <v>12</v>
      </c>
      <c r="E210" t="s">
        <v>22</v>
      </c>
      <c r="F210">
        <f t="shared" ca="1" si="13"/>
        <v>1083</v>
      </c>
      <c r="G210">
        <f t="shared" ca="1" si="14"/>
        <v>638.97</v>
      </c>
      <c r="H210">
        <f t="shared" ca="1" si="15"/>
        <v>444.03</v>
      </c>
      <c r="I210" t="str">
        <f t="shared" si="12"/>
        <v>Sep</v>
      </c>
      <c r="J210">
        <f>YEAR(SalesData[[#This Row],[Date]])</f>
        <v>2024</v>
      </c>
    </row>
    <row r="211" spans="1:10" x14ac:dyDescent="0.25">
      <c r="A211">
        <v>1211</v>
      </c>
      <c r="B211" s="1">
        <v>45560</v>
      </c>
      <c r="C211" t="s">
        <v>9</v>
      </c>
      <c r="D211" t="s">
        <v>24</v>
      </c>
      <c r="E211" t="s">
        <v>23</v>
      </c>
      <c r="F211">
        <f t="shared" ca="1" si="13"/>
        <v>1965</v>
      </c>
      <c r="G211">
        <f t="shared" ca="1" si="14"/>
        <v>1218.3</v>
      </c>
      <c r="H211">
        <f t="shared" ca="1" si="15"/>
        <v>746.7</v>
      </c>
      <c r="I211" t="str">
        <f t="shared" si="12"/>
        <v>Sep</v>
      </c>
      <c r="J211">
        <f>YEAR(SalesData[[#This Row],[Date]])</f>
        <v>2024</v>
      </c>
    </row>
    <row r="212" spans="1:10" x14ac:dyDescent="0.25">
      <c r="A212">
        <v>1212</v>
      </c>
      <c r="B212" s="1">
        <v>45561</v>
      </c>
      <c r="C212" t="s">
        <v>10</v>
      </c>
      <c r="D212" t="s">
        <v>12</v>
      </c>
      <c r="E212" t="s">
        <v>14</v>
      </c>
      <c r="F212">
        <f t="shared" ca="1" si="13"/>
        <v>931</v>
      </c>
      <c r="G212">
        <f t="shared" ca="1" si="14"/>
        <v>661.01</v>
      </c>
      <c r="H212">
        <f t="shared" ca="1" si="15"/>
        <v>269.99</v>
      </c>
      <c r="I212" t="str">
        <f t="shared" si="12"/>
        <v>Sep</v>
      </c>
      <c r="J212">
        <f>YEAR(SalesData[[#This Row],[Date]])</f>
        <v>2024</v>
      </c>
    </row>
    <row r="213" spans="1:10" x14ac:dyDescent="0.25">
      <c r="A213">
        <v>1213</v>
      </c>
      <c r="B213" s="1">
        <v>45562</v>
      </c>
      <c r="C213" t="s">
        <v>8</v>
      </c>
      <c r="D213" t="s">
        <v>24</v>
      </c>
      <c r="E213" t="s">
        <v>15</v>
      </c>
      <c r="F213">
        <f t="shared" ca="1" si="13"/>
        <v>1918</v>
      </c>
      <c r="G213">
        <f t="shared" ca="1" si="14"/>
        <v>1093.26</v>
      </c>
      <c r="H213">
        <f t="shared" ca="1" si="15"/>
        <v>824.74</v>
      </c>
      <c r="I213" t="str">
        <f t="shared" si="12"/>
        <v>Sep</v>
      </c>
      <c r="J213">
        <f>YEAR(SalesData[[#This Row],[Date]])</f>
        <v>2024</v>
      </c>
    </row>
    <row r="214" spans="1:10" x14ac:dyDescent="0.25">
      <c r="A214">
        <v>1214</v>
      </c>
      <c r="B214" s="1">
        <v>45563</v>
      </c>
      <c r="C214" t="s">
        <v>7</v>
      </c>
      <c r="D214" t="s">
        <v>13</v>
      </c>
      <c r="E214" t="s">
        <v>16</v>
      </c>
      <c r="F214">
        <f t="shared" ca="1" si="13"/>
        <v>1391</v>
      </c>
      <c r="G214">
        <f t="shared" ca="1" si="14"/>
        <v>1098.8900000000001</v>
      </c>
      <c r="H214">
        <f t="shared" ca="1" si="15"/>
        <v>292.1099999999999</v>
      </c>
      <c r="I214" t="str">
        <f t="shared" si="12"/>
        <v>Sep</v>
      </c>
      <c r="J214">
        <f>YEAR(SalesData[[#This Row],[Date]])</f>
        <v>2024</v>
      </c>
    </row>
    <row r="215" spans="1:10" x14ac:dyDescent="0.25">
      <c r="A215">
        <v>1215</v>
      </c>
      <c r="B215" s="1">
        <v>45564</v>
      </c>
      <c r="C215" t="s">
        <v>9</v>
      </c>
      <c r="D215" t="s">
        <v>12</v>
      </c>
      <c r="E215" t="s">
        <v>17</v>
      </c>
      <c r="F215">
        <f t="shared" ca="1" si="13"/>
        <v>1805</v>
      </c>
      <c r="G215">
        <f t="shared" ca="1" si="14"/>
        <v>1281.55</v>
      </c>
      <c r="H215">
        <f t="shared" ca="1" si="15"/>
        <v>523.45000000000005</v>
      </c>
      <c r="I215" t="str">
        <f t="shared" si="12"/>
        <v>Sep</v>
      </c>
      <c r="J215">
        <f>YEAR(SalesData[[#This Row],[Date]])</f>
        <v>2024</v>
      </c>
    </row>
    <row r="216" spans="1:10" x14ac:dyDescent="0.25">
      <c r="A216">
        <v>1216</v>
      </c>
      <c r="B216" s="1">
        <v>45565</v>
      </c>
      <c r="C216" t="s">
        <v>10</v>
      </c>
      <c r="D216" t="s">
        <v>24</v>
      </c>
      <c r="E216" t="s">
        <v>18</v>
      </c>
      <c r="F216">
        <f t="shared" ca="1" si="13"/>
        <v>1492</v>
      </c>
      <c r="G216">
        <f t="shared" ca="1" si="14"/>
        <v>910.12</v>
      </c>
      <c r="H216">
        <f t="shared" ca="1" si="15"/>
        <v>581.88</v>
      </c>
      <c r="I216" t="str">
        <f t="shared" si="12"/>
        <v>Sep</v>
      </c>
      <c r="J216">
        <f>YEAR(SalesData[[#This Row],[Date]])</f>
        <v>2024</v>
      </c>
    </row>
    <row r="217" spans="1:10" x14ac:dyDescent="0.25">
      <c r="A217">
        <v>1217</v>
      </c>
      <c r="B217" s="1">
        <v>45566</v>
      </c>
      <c r="C217" t="s">
        <v>8</v>
      </c>
      <c r="D217" t="s">
        <v>12</v>
      </c>
      <c r="E217" t="s">
        <v>19</v>
      </c>
      <c r="F217">
        <f t="shared" ca="1" si="13"/>
        <v>385</v>
      </c>
      <c r="G217">
        <f t="shared" ca="1" si="14"/>
        <v>211.75</v>
      </c>
      <c r="H217">
        <f t="shared" ca="1" si="15"/>
        <v>173.25</v>
      </c>
      <c r="I217" t="str">
        <f t="shared" si="12"/>
        <v>Oct</v>
      </c>
      <c r="J217">
        <f>YEAR(SalesData[[#This Row],[Date]])</f>
        <v>2024</v>
      </c>
    </row>
    <row r="218" spans="1:10" x14ac:dyDescent="0.25">
      <c r="A218">
        <v>1218</v>
      </c>
      <c r="B218" s="1">
        <v>45567</v>
      </c>
      <c r="C218" t="s">
        <v>7</v>
      </c>
      <c r="D218" t="s">
        <v>24</v>
      </c>
      <c r="E218" t="s">
        <v>20</v>
      </c>
      <c r="F218">
        <f t="shared" ca="1" si="13"/>
        <v>1536</v>
      </c>
      <c r="G218">
        <f t="shared" ca="1" si="14"/>
        <v>1228.8</v>
      </c>
      <c r="H218">
        <f t="shared" ca="1" si="15"/>
        <v>307.20000000000005</v>
      </c>
      <c r="I218" t="str">
        <f t="shared" si="12"/>
        <v>Oct</v>
      </c>
      <c r="J218">
        <f>YEAR(SalesData[[#This Row],[Date]])</f>
        <v>2024</v>
      </c>
    </row>
    <row r="219" spans="1:10" x14ac:dyDescent="0.25">
      <c r="A219">
        <v>1219</v>
      </c>
      <c r="B219" s="1">
        <v>45568</v>
      </c>
      <c r="C219" t="s">
        <v>9</v>
      </c>
      <c r="D219" t="s">
        <v>13</v>
      </c>
      <c r="E219" t="s">
        <v>21</v>
      </c>
      <c r="F219">
        <f t="shared" ca="1" si="13"/>
        <v>931</v>
      </c>
      <c r="G219">
        <f t="shared" ca="1" si="14"/>
        <v>661.01</v>
      </c>
      <c r="H219">
        <f t="shared" ca="1" si="15"/>
        <v>269.99</v>
      </c>
      <c r="I219" t="str">
        <f t="shared" si="12"/>
        <v>Oct</v>
      </c>
      <c r="J219">
        <f>YEAR(SalesData[[#This Row],[Date]])</f>
        <v>2024</v>
      </c>
    </row>
    <row r="220" spans="1:10" x14ac:dyDescent="0.25">
      <c r="A220">
        <v>1220</v>
      </c>
      <c r="B220" s="1">
        <v>45569</v>
      </c>
      <c r="C220" t="s">
        <v>10</v>
      </c>
      <c r="D220" t="s">
        <v>12</v>
      </c>
      <c r="E220" t="s">
        <v>22</v>
      </c>
      <c r="F220">
        <f t="shared" ca="1" si="13"/>
        <v>1761</v>
      </c>
      <c r="G220">
        <f t="shared" ca="1" si="14"/>
        <v>1127.04</v>
      </c>
      <c r="H220">
        <f t="shared" ca="1" si="15"/>
        <v>633.96</v>
      </c>
      <c r="I220" t="str">
        <f t="shared" si="12"/>
        <v>Oct</v>
      </c>
      <c r="J220">
        <f>YEAR(SalesData[[#This Row],[Date]])</f>
        <v>2024</v>
      </c>
    </row>
    <row r="221" spans="1:10" x14ac:dyDescent="0.25">
      <c r="A221">
        <v>1221</v>
      </c>
      <c r="B221" s="1">
        <v>45570</v>
      </c>
      <c r="C221" t="s">
        <v>8</v>
      </c>
      <c r="D221" t="s">
        <v>24</v>
      </c>
      <c r="E221" t="s">
        <v>23</v>
      </c>
      <c r="F221">
        <f t="shared" ca="1" si="13"/>
        <v>1194</v>
      </c>
      <c r="G221">
        <f t="shared" ca="1" si="14"/>
        <v>716.4</v>
      </c>
      <c r="H221">
        <f t="shared" ca="1" si="15"/>
        <v>477.6</v>
      </c>
      <c r="I221" t="str">
        <f t="shared" si="12"/>
        <v>Oct</v>
      </c>
      <c r="J221">
        <f>YEAR(SalesData[[#This Row],[Date]])</f>
        <v>2024</v>
      </c>
    </row>
    <row r="222" spans="1:10" x14ac:dyDescent="0.25">
      <c r="A222">
        <v>1222</v>
      </c>
      <c r="B222" s="1">
        <v>45571</v>
      </c>
      <c r="C222" t="s">
        <v>7</v>
      </c>
      <c r="D222" t="s">
        <v>12</v>
      </c>
      <c r="E222" t="s">
        <v>14</v>
      </c>
      <c r="F222">
        <f t="shared" ca="1" si="13"/>
        <v>1777</v>
      </c>
      <c r="G222">
        <f t="shared" ca="1" si="14"/>
        <v>1421.6</v>
      </c>
      <c r="H222">
        <f t="shared" ca="1" si="15"/>
        <v>355.40000000000009</v>
      </c>
      <c r="I222" t="str">
        <f t="shared" si="12"/>
        <v>Oct</v>
      </c>
      <c r="J222">
        <f>YEAR(SalesData[[#This Row],[Date]])</f>
        <v>2024</v>
      </c>
    </row>
    <row r="223" spans="1:10" x14ac:dyDescent="0.25">
      <c r="A223">
        <v>1223</v>
      </c>
      <c r="B223" s="1">
        <v>45572</v>
      </c>
      <c r="C223" t="s">
        <v>9</v>
      </c>
      <c r="D223" t="s">
        <v>24</v>
      </c>
      <c r="E223" t="s">
        <v>15</v>
      </c>
      <c r="F223">
        <f t="shared" ca="1" si="13"/>
        <v>1977</v>
      </c>
      <c r="G223">
        <f t="shared" ca="1" si="14"/>
        <v>1462.98</v>
      </c>
      <c r="H223">
        <f t="shared" ca="1" si="15"/>
        <v>514.02</v>
      </c>
      <c r="I223" t="str">
        <f t="shared" si="12"/>
        <v>Oct</v>
      </c>
      <c r="J223">
        <f>YEAR(SalesData[[#This Row],[Date]])</f>
        <v>2024</v>
      </c>
    </row>
    <row r="224" spans="1:10" x14ac:dyDescent="0.25">
      <c r="A224">
        <v>1224</v>
      </c>
      <c r="B224" s="1">
        <v>45573</v>
      </c>
      <c r="C224" t="s">
        <v>10</v>
      </c>
      <c r="D224" t="s">
        <v>13</v>
      </c>
      <c r="E224" t="s">
        <v>16</v>
      </c>
      <c r="F224">
        <f t="shared" ca="1" si="13"/>
        <v>807</v>
      </c>
      <c r="G224">
        <f t="shared" ca="1" si="14"/>
        <v>476.13</v>
      </c>
      <c r="H224">
        <f t="shared" ca="1" si="15"/>
        <v>330.87</v>
      </c>
      <c r="I224" t="str">
        <f t="shared" si="12"/>
        <v>Oct</v>
      </c>
      <c r="J224">
        <f>YEAR(SalesData[[#This Row],[Date]])</f>
        <v>2024</v>
      </c>
    </row>
    <row r="225" spans="1:10" x14ac:dyDescent="0.25">
      <c r="A225">
        <v>1225</v>
      </c>
      <c r="B225" s="1">
        <v>45574</v>
      </c>
      <c r="C225" t="s">
        <v>8</v>
      </c>
      <c r="D225" t="s">
        <v>12</v>
      </c>
      <c r="E225" t="s">
        <v>17</v>
      </c>
      <c r="F225">
        <f t="shared" ca="1" si="13"/>
        <v>544</v>
      </c>
      <c r="G225">
        <f t="shared" ca="1" si="14"/>
        <v>413.44</v>
      </c>
      <c r="H225">
        <f t="shared" ca="1" si="15"/>
        <v>130.56</v>
      </c>
      <c r="I225" t="str">
        <f t="shared" si="12"/>
        <v>Oct</v>
      </c>
      <c r="J225">
        <f>YEAR(SalesData[[#This Row],[Date]])</f>
        <v>2024</v>
      </c>
    </row>
    <row r="226" spans="1:10" x14ac:dyDescent="0.25">
      <c r="A226">
        <v>1226</v>
      </c>
      <c r="B226" s="1">
        <v>45575</v>
      </c>
      <c r="C226" t="s">
        <v>7</v>
      </c>
      <c r="D226" t="s">
        <v>24</v>
      </c>
      <c r="E226" t="s">
        <v>18</v>
      </c>
      <c r="F226">
        <f t="shared" ca="1" si="13"/>
        <v>1121</v>
      </c>
      <c r="G226">
        <f t="shared" ca="1" si="14"/>
        <v>851.96</v>
      </c>
      <c r="H226">
        <f t="shared" ca="1" si="15"/>
        <v>269.03999999999996</v>
      </c>
      <c r="I226" t="str">
        <f t="shared" si="12"/>
        <v>Oct</v>
      </c>
      <c r="J226">
        <f>YEAR(SalesData[[#This Row],[Date]])</f>
        <v>2024</v>
      </c>
    </row>
    <row r="227" spans="1:10" x14ac:dyDescent="0.25">
      <c r="A227">
        <v>1227</v>
      </c>
      <c r="B227" s="1">
        <v>45576</v>
      </c>
      <c r="C227" t="s">
        <v>9</v>
      </c>
      <c r="D227" t="s">
        <v>12</v>
      </c>
      <c r="E227" t="s">
        <v>19</v>
      </c>
      <c r="F227">
        <f t="shared" ca="1" si="13"/>
        <v>880</v>
      </c>
      <c r="G227">
        <f t="shared" ca="1" si="14"/>
        <v>704</v>
      </c>
      <c r="H227">
        <f t="shared" ca="1" si="15"/>
        <v>176</v>
      </c>
      <c r="I227" t="str">
        <f t="shared" si="12"/>
        <v>Oct</v>
      </c>
      <c r="J227">
        <f>YEAR(SalesData[[#This Row],[Date]])</f>
        <v>2024</v>
      </c>
    </row>
    <row r="228" spans="1:10" x14ac:dyDescent="0.25">
      <c r="A228">
        <v>1228</v>
      </c>
      <c r="B228" s="1">
        <v>45577</v>
      </c>
      <c r="C228" t="s">
        <v>10</v>
      </c>
      <c r="D228" t="s">
        <v>24</v>
      </c>
      <c r="E228" t="s">
        <v>20</v>
      </c>
      <c r="F228">
        <f t="shared" ca="1" si="13"/>
        <v>1813</v>
      </c>
      <c r="G228">
        <f t="shared" ca="1" si="14"/>
        <v>1250.97</v>
      </c>
      <c r="H228">
        <f t="shared" ca="1" si="15"/>
        <v>562.03</v>
      </c>
      <c r="I228" t="str">
        <f t="shared" si="12"/>
        <v>Oct</v>
      </c>
      <c r="J228">
        <f>YEAR(SalesData[[#This Row],[Date]])</f>
        <v>2024</v>
      </c>
    </row>
    <row r="229" spans="1:10" x14ac:dyDescent="0.25">
      <c r="A229">
        <v>1229</v>
      </c>
      <c r="B229" s="1">
        <v>45578</v>
      </c>
      <c r="C229" t="s">
        <v>8</v>
      </c>
      <c r="D229" t="s">
        <v>13</v>
      </c>
      <c r="E229" t="s">
        <v>21</v>
      </c>
      <c r="F229">
        <f t="shared" ca="1" si="13"/>
        <v>1545</v>
      </c>
      <c r="G229">
        <f t="shared" ca="1" si="14"/>
        <v>1004.25</v>
      </c>
      <c r="H229">
        <f t="shared" ca="1" si="15"/>
        <v>540.75</v>
      </c>
      <c r="I229" t="str">
        <f t="shared" si="12"/>
        <v>Oct</v>
      </c>
      <c r="J229">
        <f>YEAR(SalesData[[#This Row],[Date]])</f>
        <v>2024</v>
      </c>
    </row>
    <row r="230" spans="1:10" x14ac:dyDescent="0.25">
      <c r="A230">
        <v>1230</v>
      </c>
      <c r="B230" s="1">
        <v>45579</v>
      </c>
      <c r="C230" t="s">
        <v>7</v>
      </c>
      <c r="D230" t="s">
        <v>12</v>
      </c>
      <c r="E230" t="s">
        <v>22</v>
      </c>
      <c r="F230">
        <f t="shared" ca="1" si="13"/>
        <v>708</v>
      </c>
      <c r="G230">
        <f t="shared" ca="1" si="14"/>
        <v>361.08</v>
      </c>
      <c r="H230">
        <f t="shared" ca="1" si="15"/>
        <v>346.92</v>
      </c>
      <c r="I230" t="str">
        <f t="shared" si="12"/>
        <v>Oct</v>
      </c>
      <c r="J230">
        <f>YEAR(SalesData[[#This Row],[Date]])</f>
        <v>2024</v>
      </c>
    </row>
    <row r="231" spans="1:10" x14ac:dyDescent="0.25">
      <c r="A231">
        <v>1231</v>
      </c>
      <c r="B231" s="1">
        <v>45580</v>
      </c>
      <c r="C231" t="s">
        <v>9</v>
      </c>
      <c r="D231" t="s">
        <v>24</v>
      </c>
      <c r="E231" t="s">
        <v>23</v>
      </c>
      <c r="F231">
        <f t="shared" ca="1" si="13"/>
        <v>1774</v>
      </c>
      <c r="G231">
        <f t="shared" ca="1" si="14"/>
        <v>1082.1400000000001</v>
      </c>
      <c r="H231">
        <f t="shared" ca="1" si="15"/>
        <v>691.8599999999999</v>
      </c>
      <c r="I231" t="str">
        <f t="shared" si="12"/>
        <v>Oct</v>
      </c>
      <c r="J231">
        <f>YEAR(SalesData[[#This Row],[Date]])</f>
        <v>2024</v>
      </c>
    </row>
    <row r="232" spans="1:10" x14ac:dyDescent="0.25">
      <c r="A232">
        <v>1232</v>
      </c>
      <c r="B232" s="1">
        <v>45581</v>
      </c>
      <c r="C232" t="s">
        <v>10</v>
      </c>
      <c r="D232" t="s">
        <v>12</v>
      </c>
      <c r="E232" t="s">
        <v>14</v>
      </c>
      <c r="F232">
        <f t="shared" ca="1" si="13"/>
        <v>850</v>
      </c>
      <c r="G232">
        <f t="shared" ca="1" si="14"/>
        <v>527</v>
      </c>
      <c r="H232">
        <f t="shared" ca="1" si="15"/>
        <v>323</v>
      </c>
      <c r="I232" t="str">
        <f t="shared" si="12"/>
        <v>Oct</v>
      </c>
      <c r="J232">
        <f>YEAR(SalesData[[#This Row],[Date]])</f>
        <v>2024</v>
      </c>
    </row>
    <row r="233" spans="1:10" x14ac:dyDescent="0.25">
      <c r="A233">
        <v>1233</v>
      </c>
      <c r="B233" s="1">
        <v>45582</v>
      </c>
      <c r="C233" t="s">
        <v>8</v>
      </c>
      <c r="D233" t="s">
        <v>24</v>
      </c>
      <c r="E233" t="s">
        <v>15</v>
      </c>
      <c r="F233">
        <f t="shared" ca="1" si="13"/>
        <v>1835</v>
      </c>
      <c r="G233">
        <f t="shared" ca="1" si="14"/>
        <v>1468</v>
      </c>
      <c r="H233">
        <f t="shared" ca="1" si="15"/>
        <v>367</v>
      </c>
      <c r="I233" t="str">
        <f t="shared" si="12"/>
        <v>Oct</v>
      </c>
      <c r="J233">
        <f>YEAR(SalesData[[#This Row],[Date]])</f>
        <v>2024</v>
      </c>
    </row>
    <row r="234" spans="1:10" x14ac:dyDescent="0.25">
      <c r="A234">
        <v>1234</v>
      </c>
      <c r="B234" s="1">
        <v>45583</v>
      </c>
      <c r="C234" t="s">
        <v>7</v>
      </c>
      <c r="D234" t="s">
        <v>13</v>
      </c>
      <c r="E234" t="s">
        <v>16</v>
      </c>
      <c r="F234">
        <f t="shared" ca="1" si="13"/>
        <v>1537</v>
      </c>
      <c r="G234">
        <f t="shared" ca="1" si="14"/>
        <v>876.09</v>
      </c>
      <c r="H234">
        <f t="shared" ca="1" si="15"/>
        <v>660.91</v>
      </c>
      <c r="I234" t="str">
        <f t="shared" si="12"/>
        <v>Oct</v>
      </c>
      <c r="J234">
        <f>YEAR(SalesData[[#This Row],[Date]])</f>
        <v>2024</v>
      </c>
    </row>
    <row r="235" spans="1:10" x14ac:dyDescent="0.25">
      <c r="A235">
        <v>1235</v>
      </c>
      <c r="B235" s="1">
        <v>45584</v>
      </c>
      <c r="C235" t="s">
        <v>9</v>
      </c>
      <c r="D235" t="s">
        <v>12</v>
      </c>
      <c r="E235" t="s">
        <v>17</v>
      </c>
      <c r="F235">
        <f t="shared" ca="1" si="13"/>
        <v>1104</v>
      </c>
      <c r="G235">
        <f t="shared" ca="1" si="14"/>
        <v>816.96</v>
      </c>
      <c r="H235">
        <f t="shared" ca="1" si="15"/>
        <v>287.03999999999996</v>
      </c>
      <c r="I235" t="str">
        <f t="shared" si="12"/>
        <v>Oct</v>
      </c>
      <c r="J235">
        <f>YEAR(SalesData[[#This Row],[Date]])</f>
        <v>2024</v>
      </c>
    </row>
    <row r="236" spans="1:10" x14ac:dyDescent="0.25">
      <c r="A236">
        <v>1236</v>
      </c>
      <c r="B236" s="1">
        <v>45585</v>
      </c>
      <c r="C236" t="s">
        <v>10</v>
      </c>
      <c r="D236" t="s">
        <v>24</v>
      </c>
      <c r="E236" t="s">
        <v>18</v>
      </c>
      <c r="F236">
        <f t="shared" ca="1" si="13"/>
        <v>1412</v>
      </c>
      <c r="G236">
        <f t="shared" ca="1" si="14"/>
        <v>818.96</v>
      </c>
      <c r="H236">
        <f t="shared" ca="1" si="15"/>
        <v>593.04</v>
      </c>
      <c r="I236" t="str">
        <f t="shared" si="12"/>
        <v>Oct</v>
      </c>
      <c r="J236">
        <f>YEAR(SalesData[[#This Row],[Date]])</f>
        <v>2024</v>
      </c>
    </row>
    <row r="237" spans="1:10" x14ac:dyDescent="0.25">
      <c r="A237">
        <v>1237</v>
      </c>
      <c r="B237" s="1">
        <v>45586</v>
      </c>
      <c r="C237" t="s">
        <v>8</v>
      </c>
      <c r="D237" t="s">
        <v>12</v>
      </c>
      <c r="E237" t="s">
        <v>19</v>
      </c>
      <c r="F237">
        <f t="shared" ca="1" si="13"/>
        <v>1501</v>
      </c>
      <c r="G237">
        <f t="shared" ca="1" si="14"/>
        <v>885.59</v>
      </c>
      <c r="H237">
        <f t="shared" ca="1" si="15"/>
        <v>615.41</v>
      </c>
      <c r="I237" t="str">
        <f t="shared" si="12"/>
        <v>Oct</v>
      </c>
      <c r="J237">
        <f>YEAR(SalesData[[#This Row],[Date]])</f>
        <v>2024</v>
      </c>
    </row>
    <row r="238" spans="1:10" x14ac:dyDescent="0.25">
      <c r="A238">
        <v>1238</v>
      </c>
      <c r="B238" s="1">
        <v>45587</v>
      </c>
      <c r="C238" t="s">
        <v>7</v>
      </c>
      <c r="D238" t="s">
        <v>24</v>
      </c>
      <c r="E238" t="s">
        <v>20</v>
      </c>
      <c r="F238">
        <f t="shared" ca="1" si="13"/>
        <v>1835</v>
      </c>
      <c r="G238">
        <f t="shared" ca="1" si="14"/>
        <v>1468</v>
      </c>
      <c r="H238">
        <f t="shared" ca="1" si="15"/>
        <v>367</v>
      </c>
      <c r="I238" t="str">
        <f t="shared" si="12"/>
        <v>Oct</v>
      </c>
      <c r="J238">
        <f>YEAR(SalesData[[#This Row],[Date]])</f>
        <v>2024</v>
      </c>
    </row>
    <row r="239" spans="1:10" x14ac:dyDescent="0.25">
      <c r="A239">
        <v>1239</v>
      </c>
      <c r="B239" s="1">
        <v>45588</v>
      </c>
      <c r="C239" t="s">
        <v>9</v>
      </c>
      <c r="D239" t="s">
        <v>13</v>
      </c>
      <c r="E239" t="s">
        <v>21</v>
      </c>
      <c r="F239">
        <f t="shared" ca="1" si="13"/>
        <v>577</v>
      </c>
      <c r="G239">
        <f t="shared" ca="1" si="14"/>
        <v>357.74</v>
      </c>
      <c r="H239">
        <f t="shared" ca="1" si="15"/>
        <v>219.26</v>
      </c>
      <c r="I239" t="str">
        <f t="shared" si="12"/>
        <v>Oct</v>
      </c>
      <c r="J239">
        <f>YEAR(SalesData[[#This Row],[Date]])</f>
        <v>2024</v>
      </c>
    </row>
    <row r="240" spans="1:10" x14ac:dyDescent="0.25">
      <c r="A240">
        <v>1240</v>
      </c>
      <c r="B240" s="1">
        <v>45589</v>
      </c>
      <c r="C240" t="s">
        <v>10</v>
      </c>
      <c r="D240" t="s">
        <v>12</v>
      </c>
      <c r="E240" t="s">
        <v>22</v>
      </c>
      <c r="F240">
        <f t="shared" ca="1" si="13"/>
        <v>1347</v>
      </c>
      <c r="G240">
        <f t="shared" ca="1" si="14"/>
        <v>902.49</v>
      </c>
      <c r="H240">
        <f t="shared" ca="1" si="15"/>
        <v>444.51</v>
      </c>
      <c r="I240" t="str">
        <f t="shared" si="12"/>
        <v>Oct</v>
      </c>
      <c r="J240">
        <f>YEAR(SalesData[[#This Row],[Date]])</f>
        <v>2024</v>
      </c>
    </row>
    <row r="241" spans="1:10" x14ac:dyDescent="0.25">
      <c r="A241">
        <v>1241</v>
      </c>
      <c r="B241" s="1">
        <v>45590</v>
      </c>
      <c r="C241" t="s">
        <v>8</v>
      </c>
      <c r="D241" t="s">
        <v>24</v>
      </c>
      <c r="E241" t="s">
        <v>23</v>
      </c>
      <c r="F241">
        <f t="shared" ca="1" si="13"/>
        <v>1425</v>
      </c>
      <c r="G241">
        <f t="shared" ca="1" si="14"/>
        <v>1111.5</v>
      </c>
      <c r="H241">
        <f t="shared" ca="1" si="15"/>
        <v>313.5</v>
      </c>
      <c r="I241" t="str">
        <f t="shared" si="12"/>
        <v>Oct</v>
      </c>
      <c r="J241">
        <f>YEAR(SalesData[[#This Row],[Date]])</f>
        <v>2024</v>
      </c>
    </row>
    <row r="242" spans="1:10" x14ac:dyDescent="0.25">
      <c r="A242">
        <v>1242</v>
      </c>
      <c r="B242" s="1">
        <v>45591</v>
      </c>
      <c r="C242" t="s">
        <v>7</v>
      </c>
      <c r="D242" t="s">
        <v>12</v>
      </c>
      <c r="E242" t="s">
        <v>14</v>
      </c>
      <c r="F242">
        <f t="shared" ca="1" si="13"/>
        <v>1239</v>
      </c>
      <c r="G242">
        <f t="shared" ca="1" si="14"/>
        <v>669.06</v>
      </c>
      <c r="H242">
        <f t="shared" ca="1" si="15"/>
        <v>569.94000000000005</v>
      </c>
      <c r="I242" t="str">
        <f t="shared" si="12"/>
        <v>Oct</v>
      </c>
      <c r="J242">
        <f>YEAR(SalesData[[#This Row],[Date]])</f>
        <v>2024</v>
      </c>
    </row>
    <row r="243" spans="1:10" x14ac:dyDescent="0.25">
      <c r="A243">
        <v>1243</v>
      </c>
      <c r="B243" s="1">
        <v>45592</v>
      </c>
      <c r="C243" t="s">
        <v>9</v>
      </c>
      <c r="D243" t="s">
        <v>24</v>
      </c>
      <c r="E243" t="s">
        <v>15</v>
      </c>
      <c r="F243">
        <f t="shared" ca="1" si="13"/>
        <v>1404</v>
      </c>
      <c r="G243">
        <f t="shared" ca="1" si="14"/>
        <v>1123.2</v>
      </c>
      <c r="H243">
        <f t="shared" ca="1" si="15"/>
        <v>280.79999999999995</v>
      </c>
      <c r="I243" t="str">
        <f t="shared" si="12"/>
        <v>Oct</v>
      </c>
      <c r="J243">
        <f>YEAR(SalesData[[#This Row],[Date]])</f>
        <v>2024</v>
      </c>
    </row>
    <row r="244" spans="1:10" x14ac:dyDescent="0.25">
      <c r="A244">
        <v>1244</v>
      </c>
      <c r="B244" s="1">
        <v>45593</v>
      </c>
      <c r="C244" t="s">
        <v>10</v>
      </c>
      <c r="D244" t="s">
        <v>13</v>
      </c>
      <c r="E244" t="s">
        <v>16</v>
      </c>
      <c r="F244">
        <f t="shared" ca="1" si="13"/>
        <v>1408</v>
      </c>
      <c r="G244">
        <f t="shared" ca="1" si="14"/>
        <v>872.96</v>
      </c>
      <c r="H244">
        <f t="shared" ca="1" si="15"/>
        <v>535.04</v>
      </c>
      <c r="I244" t="str">
        <f t="shared" si="12"/>
        <v>Oct</v>
      </c>
      <c r="J244">
        <f>YEAR(SalesData[[#This Row],[Date]])</f>
        <v>2024</v>
      </c>
    </row>
    <row r="245" spans="1:10" x14ac:dyDescent="0.25">
      <c r="A245">
        <v>1245</v>
      </c>
      <c r="B245" s="1">
        <v>45594</v>
      </c>
      <c r="C245" t="s">
        <v>8</v>
      </c>
      <c r="D245" t="s">
        <v>12</v>
      </c>
      <c r="E245" t="s">
        <v>17</v>
      </c>
      <c r="F245">
        <f t="shared" ca="1" si="13"/>
        <v>421</v>
      </c>
      <c r="G245">
        <f t="shared" ca="1" si="14"/>
        <v>227.34</v>
      </c>
      <c r="H245">
        <f t="shared" ca="1" si="15"/>
        <v>193.66</v>
      </c>
      <c r="I245" t="str">
        <f t="shared" si="12"/>
        <v>Oct</v>
      </c>
      <c r="J245">
        <f>YEAR(SalesData[[#This Row],[Date]])</f>
        <v>2024</v>
      </c>
    </row>
    <row r="246" spans="1:10" x14ac:dyDescent="0.25">
      <c r="A246">
        <v>1246</v>
      </c>
      <c r="B246" s="1">
        <v>45595</v>
      </c>
      <c r="C246" t="s">
        <v>7</v>
      </c>
      <c r="D246" t="s">
        <v>24</v>
      </c>
      <c r="E246" t="s">
        <v>18</v>
      </c>
      <c r="F246">
        <f t="shared" ca="1" si="13"/>
        <v>957</v>
      </c>
      <c r="G246">
        <f t="shared" ca="1" si="14"/>
        <v>698.61</v>
      </c>
      <c r="H246">
        <f t="shared" ca="1" si="15"/>
        <v>258.39</v>
      </c>
      <c r="I246" t="str">
        <f t="shared" si="12"/>
        <v>Oct</v>
      </c>
      <c r="J246">
        <f>YEAR(SalesData[[#This Row],[Date]])</f>
        <v>2024</v>
      </c>
    </row>
    <row r="247" spans="1:10" x14ac:dyDescent="0.25">
      <c r="A247">
        <v>1247</v>
      </c>
      <c r="B247" s="1">
        <v>45596</v>
      </c>
      <c r="C247" t="s">
        <v>9</v>
      </c>
      <c r="D247" t="s">
        <v>12</v>
      </c>
      <c r="E247" t="s">
        <v>19</v>
      </c>
      <c r="F247">
        <f t="shared" ca="1" si="13"/>
        <v>1167</v>
      </c>
      <c r="G247">
        <f t="shared" ca="1" si="14"/>
        <v>770.22</v>
      </c>
      <c r="H247">
        <f t="shared" ca="1" si="15"/>
        <v>396.78</v>
      </c>
      <c r="I247" t="str">
        <f t="shared" si="12"/>
        <v>Oct</v>
      </c>
      <c r="J247">
        <f>YEAR(SalesData[[#This Row],[Date]])</f>
        <v>2024</v>
      </c>
    </row>
    <row r="248" spans="1:10" x14ac:dyDescent="0.25">
      <c r="A248">
        <v>1248</v>
      </c>
      <c r="B248" s="1">
        <v>45597</v>
      </c>
      <c r="C248" t="s">
        <v>10</v>
      </c>
      <c r="D248" t="s">
        <v>24</v>
      </c>
      <c r="E248" t="s">
        <v>20</v>
      </c>
      <c r="F248">
        <f t="shared" ca="1" si="13"/>
        <v>1970</v>
      </c>
      <c r="G248">
        <f t="shared" ca="1" si="14"/>
        <v>1063.8</v>
      </c>
      <c r="H248">
        <f t="shared" ca="1" si="15"/>
        <v>906.2</v>
      </c>
      <c r="I248" t="str">
        <f t="shared" si="12"/>
        <v>Nov</v>
      </c>
      <c r="J248">
        <f>YEAR(SalesData[[#This Row],[Date]])</f>
        <v>2024</v>
      </c>
    </row>
    <row r="249" spans="1:10" x14ac:dyDescent="0.25">
      <c r="A249">
        <v>1249</v>
      </c>
      <c r="B249" s="1">
        <v>45598</v>
      </c>
      <c r="C249" t="s">
        <v>8</v>
      </c>
      <c r="D249" t="s">
        <v>13</v>
      </c>
      <c r="E249" t="s">
        <v>21</v>
      </c>
      <c r="F249">
        <f t="shared" ca="1" si="13"/>
        <v>1928</v>
      </c>
      <c r="G249">
        <f t="shared" ca="1" si="14"/>
        <v>1098.96</v>
      </c>
      <c r="H249">
        <f t="shared" ca="1" si="15"/>
        <v>829.04</v>
      </c>
      <c r="I249" t="str">
        <f t="shared" si="12"/>
        <v>Nov</v>
      </c>
      <c r="J249">
        <f>YEAR(SalesData[[#This Row],[Date]])</f>
        <v>2024</v>
      </c>
    </row>
    <row r="250" spans="1:10" x14ac:dyDescent="0.25">
      <c r="A250">
        <v>1250</v>
      </c>
      <c r="B250" s="1">
        <v>45599</v>
      </c>
      <c r="C250" t="s">
        <v>7</v>
      </c>
      <c r="D250" t="s">
        <v>12</v>
      </c>
      <c r="E250" t="s">
        <v>22</v>
      </c>
      <c r="F250">
        <f t="shared" ca="1" si="13"/>
        <v>1221</v>
      </c>
      <c r="G250">
        <f t="shared" ca="1" si="14"/>
        <v>976.8</v>
      </c>
      <c r="H250">
        <f t="shared" ca="1" si="15"/>
        <v>244.20000000000005</v>
      </c>
      <c r="I250" t="str">
        <f t="shared" si="12"/>
        <v>Nov</v>
      </c>
      <c r="J250">
        <f>YEAR(SalesData[[#This Row],[Date]])</f>
        <v>2024</v>
      </c>
    </row>
    <row r="251" spans="1:10" x14ac:dyDescent="0.25">
      <c r="A251">
        <v>1251</v>
      </c>
      <c r="B251" s="1">
        <v>45600</v>
      </c>
      <c r="C251" t="s">
        <v>9</v>
      </c>
      <c r="D251" t="s">
        <v>24</v>
      </c>
      <c r="E251" t="s">
        <v>23</v>
      </c>
      <c r="F251">
        <f t="shared" ca="1" si="13"/>
        <v>594</v>
      </c>
      <c r="G251">
        <f t="shared" ca="1" si="14"/>
        <v>403.92</v>
      </c>
      <c r="H251">
        <f t="shared" ca="1" si="15"/>
        <v>190.07999999999998</v>
      </c>
      <c r="I251" t="str">
        <f t="shared" si="12"/>
        <v>Nov</v>
      </c>
      <c r="J251">
        <f>YEAR(SalesData[[#This Row],[Date]])</f>
        <v>2024</v>
      </c>
    </row>
    <row r="252" spans="1:10" x14ac:dyDescent="0.25">
      <c r="A252">
        <v>1252</v>
      </c>
      <c r="B252" s="1">
        <v>45601</v>
      </c>
      <c r="C252" t="s">
        <v>10</v>
      </c>
      <c r="D252" t="s">
        <v>12</v>
      </c>
      <c r="E252" t="s">
        <v>14</v>
      </c>
      <c r="F252">
        <f t="shared" ca="1" si="13"/>
        <v>514</v>
      </c>
      <c r="G252">
        <f t="shared" ca="1" si="14"/>
        <v>328.96</v>
      </c>
      <c r="H252">
        <f t="shared" ca="1" si="15"/>
        <v>185.04000000000002</v>
      </c>
      <c r="I252" t="str">
        <f t="shared" si="12"/>
        <v>Nov</v>
      </c>
      <c r="J252">
        <f>YEAR(SalesData[[#This Row],[Date]])</f>
        <v>2024</v>
      </c>
    </row>
    <row r="253" spans="1:10" x14ac:dyDescent="0.25">
      <c r="A253">
        <v>1253</v>
      </c>
      <c r="B253" s="1">
        <v>45602</v>
      </c>
      <c r="C253" t="s">
        <v>8</v>
      </c>
      <c r="D253" t="s">
        <v>24</v>
      </c>
      <c r="E253" t="s">
        <v>15</v>
      </c>
      <c r="F253">
        <f t="shared" ca="1" si="13"/>
        <v>1664</v>
      </c>
      <c r="G253">
        <f t="shared" ca="1" si="14"/>
        <v>1064.96</v>
      </c>
      <c r="H253">
        <f t="shared" ca="1" si="15"/>
        <v>599.04</v>
      </c>
      <c r="I253" t="str">
        <f t="shared" si="12"/>
        <v>Nov</v>
      </c>
      <c r="J253">
        <f>YEAR(SalesData[[#This Row],[Date]])</f>
        <v>2024</v>
      </c>
    </row>
    <row r="254" spans="1:10" x14ac:dyDescent="0.25">
      <c r="A254">
        <v>1254</v>
      </c>
      <c r="B254" s="1">
        <v>45603</v>
      </c>
      <c r="C254" t="s">
        <v>7</v>
      </c>
      <c r="D254" t="s">
        <v>13</v>
      </c>
      <c r="E254" t="s">
        <v>16</v>
      </c>
      <c r="F254">
        <f t="shared" ca="1" si="13"/>
        <v>1088</v>
      </c>
      <c r="G254">
        <f t="shared" ca="1" si="14"/>
        <v>870.4</v>
      </c>
      <c r="H254">
        <f t="shared" ca="1" si="15"/>
        <v>217.60000000000002</v>
      </c>
      <c r="I254" t="str">
        <f t="shared" si="12"/>
        <v>Nov</v>
      </c>
      <c r="J254">
        <f>YEAR(SalesData[[#This Row],[Date]])</f>
        <v>2024</v>
      </c>
    </row>
    <row r="255" spans="1:10" x14ac:dyDescent="0.25">
      <c r="A255">
        <v>1255</v>
      </c>
      <c r="B255" s="1">
        <v>45604</v>
      </c>
      <c r="C255" t="s">
        <v>9</v>
      </c>
      <c r="D255" t="s">
        <v>12</v>
      </c>
      <c r="E255" t="s">
        <v>17</v>
      </c>
      <c r="F255">
        <f t="shared" ca="1" si="13"/>
        <v>997</v>
      </c>
      <c r="G255">
        <f t="shared" ca="1" si="14"/>
        <v>568.29</v>
      </c>
      <c r="H255">
        <f t="shared" ca="1" si="15"/>
        <v>428.71000000000004</v>
      </c>
      <c r="I255" t="str">
        <f t="shared" si="12"/>
        <v>Nov</v>
      </c>
      <c r="J255">
        <f>YEAR(SalesData[[#This Row],[Date]])</f>
        <v>2024</v>
      </c>
    </row>
    <row r="256" spans="1:10" x14ac:dyDescent="0.25">
      <c r="A256">
        <v>1256</v>
      </c>
      <c r="B256" s="1">
        <v>45605</v>
      </c>
      <c r="C256" t="s">
        <v>10</v>
      </c>
      <c r="D256" t="s">
        <v>24</v>
      </c>
      <c r="E256" t="s">
        <v>18</v>
      </c>
      <c r="F256">
        <f t="shared" ca="1" si="13"/>
        <v>1144</v>
      </c>
      <c r="G256">
        <f t="shared" ca="1" si="14"/>
        <v>789.36</v>
      </c>
      <c r="H256">
        <f t="shared" ca="1" si="15"/>
        <v>354.64</v>
      </c>
      <c r="I256" t="str">
        <f t="shared" si="12"/>
        <v>Nov</v>
      </c>
      <c r="J256">
        <f>YEAR(SalesData[[#This Row],[Date]])</f>
        <v>2024</v>
      </c>
    </row>
    <row r="257" spans="1:10" x14ac:dyDescent="0.25">
      <c r="A257">
        <v>1257</v>
      </c>
      <c r="B257" s="1">
        <v>45606</v>
      </c>
      <c r="C257" t="s">
        <v>8</v>
      </c>
      <c r="D257" t="s">
        <v>12</v>
      </c>
      <c r="E257" t="s">
        <v>19</v>
      </c>
      <c r="F257">
        <f t="shared" ca="1" si="13"/>
        <v>1983</v>
      </c>
      <c r="G257">
        <f t="shared" ca="1" si="14"/>
        <v>1566.57</v>
      </c>
      <c r="H257">
        <f t="shared" ca="1" si="15"/>
        <v>416.43000000000006</v>
      </c>
      <c r="I257" t="str">
        <f t="shared" si="12"/>
        <v>Nov</v>
      </c>
      <c r="J257">
        <f>YEAR(SalesData[[#This Row],[Date]])</f>
        <v>2024</v>
      </c>
    </row>
    <row r="258" spans="1:10" x14ac:dyDescent="0.25">
      <c r="A258">
        <v>1258</v>
      </c>
      <c r="B258" s="1">
        <v>45607</v>
      </c>
      <c r="C258" t="s">
        <v>7</v>
      </c>
      <c r="D258" t="s">
        <v>24</v>
      </c>
      <c r="E258" t="s">
        <v>20</v>
      </c>
      <c r="F258">
        <f t="shared" ca="1" si="13"/>
        <v>869</v>
      </c>
      <c r="G258">
        <f t="shared" ca="1" si="14"/>
        <v>504.02</v>
      </c>
      <c r="H258">
        <f t="shared" ca="1" si="15"/>
        <v>364.98</v>
      </c>
      <c r="I258" t="str">
        <f t="shared" ref="I258:I321" si="16">TEXT(B258,"mmm")</f>
        <v>Nov</v>
      </c>
      <c r="J258">
        <f>YEAR(SalesData[[#This Row],[Date]])</f>
        <v>2024</v>
      </c>
    </row>
    <row r="259" spans="1:10" x14ac:dyDescent="0.25">
      <c r="A259">
        <v>1259</v>
      </c>
      <c r="B259" s="1">
        <v>45608</v>
      </c>
      <c r="C259" t="s">
        <v>9</v>
      </c>
      <c r="D259" t="s">
        <v>13</v>
      </c>
      <c r="E259" t="s">
        <v>21</v>
      </c>
      <c r="F259">
        <f t="shared" ref="F259:F322" ca="1" si="17">RANDBETWEEN(300,2000)</f>
        <v>508</v>
      </c>
      <c r="G259">
        <f t="shared" ref="G259:G322" ca="1" si="18">F259*RANDBETWEEN(50,80)/100</f>
        <v>370.84</v>
      </c>
      <c r="H259">
        <f t="shared" ref="H259:H322" ca="1" si="19">F259-G259</f>
        <v>137.16000000000003</v>
      </c>
      <c r="I259" t="str">
        <f t="shared" si="16"/>
        <v>Nov</v>
      </c>
      <c r="J259">
        <f>YEAR(SalesData[[#This Row],[Date]])</f>
        <v>2024</v>
      </c>
    </row>
    <row r="260" spans="1:10" x14ac:dyDescent="0.25">
      <c r="A260">
        <v>1260</v>
      </c>
      <c r="B260" s="1">
        <v>45609</v>
      </c>
      <c r="C260" t="s">
        <v>10</v>
      </c>
      <c r="D260" t="s">
        <v>12</v>
      </c>
      <c r="E260" t="s">
        <v>22</v>
      </c>
      <c r="F260">
        <f t="shared" ca="1" si="17"/>
        <v>1948</v>
      </c>
      <c r="G260">
        <f t="shared" ca="1" si="18"/>
        <v>1441.52</v>
      </c>
      <c r="H260">
        <f t="shared" ca="1" si="19"/>
        <v>506.48</v>
      </c>
      <c r="I260" t="str">
        <f t="shared" si="16"/>
        <v>Nov</v>
      </c>
      <c r="J260">
        <f>YEAR(SalesData[[#This Row],[Date]])</f>
        <v>2024</v>
      </c>
    </row>
    <row r="261" spans="1:10" x14ac:dyDescent="0.25">
      <c r="A261">
        <v>1261</v>
      </c>
      <c r="B261" s="1">
        <v>45610</v>
      </c>
      <c r="C261" t="s">
        <v>8</v>
      </c>
      <c r="D261" t="s">
        <v>24</v>
      </c>
      <c r="E261" t="s">
        <v>23</v>
      </c>
      <c r="F261">
        <f t="shared" ca="1" si="17"/>
        <v>953</v>
      </c>
      <c r="G261">
        <f t="shared" ca="1" si="18"/>
        <v>714.75</v>
      </c>
      <c r="H261">
        <f t="shared" ca="1" si="19"/>
        <v>238.25</v>
      </c>
      <c r="I261" t="str">
        <f t="shared" si="16"/>
        <v>Nov</v>
      </c>
      <c r="J261">
        <f>YEAR(SalesData[[#This Row],[Date]])</f>
        <v>2024</v>
      </c>
    </row>
    <row r="262" spans="1:10" x14ac:dyDescent="0.25">
      <c r="A262">
        <v>1262</v>
      </c>
      <c r="B262" s="1">
        <v>45611</v>
      </c>
      <c r="C262" t="s">
        <v>7</v>
      </c>
      <c r="D262" t="s">
        <v>12</v>
      </c>
      <c r="E262" t="s">
        <v>14</v>
      </c>
      <c r="F262">
        <f t="shared" ca="1" si="17"/>
        <v>1779</v>
      </c>
      <c r="G262">
        <f t="shared" ca="1" si="18"/>
        <v>1049.6099999999999</v>
      </c>
      <c r="H262">
        <f t="shared" ca="1" si="19"/>
        <v>729.3900000000001</v>
      </c>
      <c r="I262" t="str">
        <f t="shared" si="16"/>
        <v>Nov</v>
      </c>
      <c r="J262">
        <f>YEAR(SalesData[[#This Row],[Date]])</f>
        <v>2024</v>
      </c>
    </row>
    <row r="263" spans="1:10" x14ac:dyDescent="0.25">
      <c r="A263">
        <v>1263</v>
      </c>
      <c r="B263" s="1">
        <v>45612</v>
      </c>
      <c r="C263" t="s">
        <v>9</v>
      </c>
      <c r="D263" t="s">
        <v>24</v>
      </c>
      <c r="E263" t="s">
        <v>15</v>
      </c>
      <c r="F263">
        <f t="shared" ca="1" si="17"/>
        <v>640</v>
      </c>
      <c r="G263">
        <f t="shared" ca="1" si="18"/>
        <v>358.4</v>
      </c>
      <c r="H263">
        <f t="shared" ca="1" si="19"/>
        <v>281.60000000000002</v>
      </c>
      <c r="I263" t="str">
        <f t="shared" si="16"/>
        <v>Nov</v>
      </c>
      <c r="J263">
        <f>YEAR(SalesData[[#This Row],[Date]])</f>
        <v>2024</v>
      </c>
    </row>
    <row r="264" spans="1:10" x14ac:dyDescent="0.25">
      <c r="A264">
        <v>1264</v>
      </c>
      <c r="B264" s="1">
        <v>45613</v>
      </c>
      <c r="C264" t="s">
        <v>10</v>
      </c>
      <c r="D264" t="s">
        <v>13</v>
      </c>
      <c r="E264" t="s">
        <v>16</v>
      </c>
      <c r="F264">
        <f t="shared" ca="1" si="17"/>
        <v>1273</v>
      </c>
      <c r="G264">
        <f t="shared" ca="1" si="18"/>
        <v>840.18</v>
      </c>
      <c r="H264">
        <f t="shared" ca="1" si="19"/>
        <v>432.82000000000005</v>
      </c>
      <c r="I264" t="str">
        <f t="shared" si="16"/>
        <v>Nov</v>
      </c>
      <c r="J264">
        <f>YEAR(SalesData[[#This Row],[Date]])</f>
        <v>2024</v>
      </c>
    </row>
    <row r="265" spans="1:10" x14ac:dyDescent="0.25">
      <c r="A265">
        <v>1265</v>
      </c>
      <c r="B265" s="1">
        <v>45614</v>
      </c>
      <c r="C265" t="s">
        <v>8</v>
      </c>
      <c r="D265" t="s">
        <v>12</v>
      </c>
      <c r="E265" t="s">
        <v>17</v>
      </c>
      <c r="F265">
        <f t="shared" ca="1" si="17"/>
        <v>1537</v>
      </c>
      <c r="G265">
        <f t="shared" ca="1" si="18"/>
        <v>968.31</v>
      </c>
      <c r="H265">
        <f t="shared" ca="1" si="19"/>
        <v>568.69000000000005</v>
      </c>
      <c r="I265" t="str">
        <f t="shared" si="16"/>
        <v>Nov</v>
      </c>
      <c r="J265">
        <f>YEAR(SalesData[[#This Row],[Date]])</f>
        <v>2024</v>
      </c>
    </row>
    <row r="266" spans="1:10" x14ac:dyDescent="0.25">
      <c r="A266">
        <v>1266</v>
      </c>
      <c r="B266" s="1">
        <v>45615</v>
      </c>
      <c r="C266" t="s">
        <v>7</v>
      </c>
      <c r="D266" t="s">
        <v>24</v>
      </c>
      <c r="E266" t="s">
        <v>18</v>
      </c>
      <c r="F266">
        <f t="shared" ca="1" si="17"/>
        <v>1221</v>
      </c>
      <c r="G266">
        <f t="shared" ca="1" si="18"/>
        <v>781.44</v>
      </c>
      <c r="H266">
        <f t="shared" ca="1" si="19"/>
        <v>439.55999999999995</v>
      </c>
      <c r="I266" t="str">
        <f t="shared" si="16"/>
        <v>Nov</v>
      </c>
      <c r="J266">
        <f>YEAR(SalesData[[#This Row],[Date]])</f>
        <v>2024</v>
      </c>
    </row>
    <row r="267" spans="1:10" x14ac:dyDescent="0.25">
      <c r="A267">
        <v>1267</v>
      </c>
      <c r="B267" s="1">
        <v>45616</v>
      </c>
      <c r="C267" t="s">
        <v>9</v>
      </c>
      <c r="D267" t="s">
        <v>12</v>
      </c>
      <c r="E267" t="s">
        <v>19</v>
      </c>
      <c r="F267">
        <f t="shared" ca="1" si="17"/>
        <v>1047</v>
      </c>
      <c r="G267">
        <f t="shared" ca="1" si="18"/>
        <v>554.91</v>
      </c>
      <c r="H267">
        <f t="shared" ca="1" si="19"/>
        <v>492.09000000000003</v>
      </c>
      <c r="I267" t="str">
        <f t="shared" si="16"/>
        <v>Nov</v>
      </c>
      <c r="J267">
        <f>YEAR(SalesData[[#This Row],[Date]])</f>
        <v>2024</v>
      </c>
    </row>
    <row r="268" spans="1:10" x14ac:dyDescent="0.25">
      <c r="A268">
        <v>1268</v>
      </c>
      <c r="B268" s="1">
        <v>45617</v>
      </c>
      <c r="C268" t="s">
        <v>10</v>
      </c>
      <c r="D268" t="s">
        <v>24</v>
      </c>
      <c r="E268" t="s">
        <v>20</v>
      </c>
      <c r="F268">
        <f t="shared" ca="1" si="17"/>
        <v>418</v>
      </c>
      <c r="G268">
        <f t="shared" ca="1" si="18"/>
        <v>263.33999999999997</v>
      </c>
      <c r="H268">
        <f t="shared" ca="1" si="19"/>
        <v>154.66000000000003</v>
      </c>
      <c r="I268" t="str">
        <f t="shared" si="16"/>
        <v>Nov</v>
      </c>
      <c r="J268">
        <f>YEAR(SalesData[[#This Row],[Date]])</f>
        <v>2024</v>
      </c>
    </row>
    <row r="269" spans="1:10" x14ac:dyDescent="0.25">
      <c r="A269">
        <v>1269</v>
      </c>
      <c r="B269" s="1">
        <v>45618</v>
      </c>
      <c r="C269" t="s">
        <v>8</v>
      </c>
      <c r="D269" t="s">
        <v>13</v>
      </c>
      <c r="E269" t="s">
        <v>21</v>
      </c>
      <c r="F269">
        <f t="shared" ca="1" si="17"/>
        <v>1732</v>
      </c>
      <c r="G269">
        <f t="shared" ca="1" si="18"/>
        <v>935.28</v>
      </c>
      <c r="H269">
        <f t="shared" ca="1" si="19"/>
        <v>796.72</v>
      </c>
      <c r="I269" t="str">
        <f t="shared" si="16"/>
        <v>Nov</v>
      </c>
      <c r="J269">
        <f>YEAR(SalesData[[#This Row],[Date]])</f>
        <v>2024</v>
      </c>
    </row>
    <row r="270" spans="1:10" x14ac:dyDescent="0.25">
      <c r="A270">
        <v>1270</v>
      </c>
      <c r="B270" s="1">
        <v>45619</v>
      </c>
      <c r="C270" t="s">
        <v>7</v>
      </c>
      <c r="D270" t="s">
        <v>12</v>
      </c>
      <c r="E270" t="s">
        <v>22</v>
      </c>
      <c r="F270">
        <f t="shared" ca="1" si="17"/>
        <v>1260</v>
      </c>
      <c r="G270">
        <f t="shared" ca="1" si="18"/>
        <v>932.4</v>
      </c>
      <c r="H270">
        <f t="shared" ca="1" si="19"/>
        <v>327.60000000000002</v>
      </c>
      <c r="I270" t="str">
        <f t="shared" si="16"/>
        <v>Nov</v>
      </c>
      <c r="J270">
        <f>YEAR(SalesData[[#This Row],[Date]])</f>
        <v>2024</v>
      </c>
    </row>
    <row r="271" spans="1:10" x14ac:dyDescent="0.25">
      <c r="A271">
        <v>1271</v>
      </c>
      <c r="B271" s="1">
        <v>45620</v>
      </c>
      <c r="C271" t="s">
        <v>9</v>
      </c>
      <c r="D271" t="s">
        <v>24</v>
      </c>
      <c r="E271" t="s">
        <v>23</v>
      </c>
      <c r="F271">
        <f t="shared" ca="1" si="17"/>
        <v>1418</v>
      </c>
      <c r="G271">
        <f t="shared" ca="1" si="18"/>
        <v>1077.68</v>
      </c>
      <c r="H271">
        <f t="shared" ca="1" si="19"/>
        <v>340.31999999999994</v>
      </c>
      <c r="I271" t="str">
        <f t="shared" si="16"/>
        <v>Nov</v>
      </c>
      <c r="J271">
        <f>YEAR(SalesData[[#This Row],[Date]])</f>
        <v>2024</v>
      </c>
    </row>
    <row r="272" spans="1:10" x14ac:dyDescent="0.25">
      <c r="A272">
        <v>1272</v>
      </c>
      <c r="B272" s="1">
        <v>45621</v>
      </c>
      <c r="C272" t="s">
        <v>10</v>
      </c>
      <c r="D272" t="s">
        <v>12</v>
      </c>
      <c r="E272" t="s">
        <v>14</v>
      </c>
      <c r="F272">
        <f t="shared" ca="1" si="17"/>
        <v>1544</v>
      </c>
      <c r="G272">
        <f t="shared" ca="1" si="18"/>
        <v>1096.24</v>
      </c>
      <c r="H272">
        <f t="shared" ca="1" si="19"/>
        <v>447.76</v>
      </c>
      <c r="I272" t="str">
        <f t="shared" si="16"/>
        <v>Nov</v>
      </c>
      <c r="J272">
        <f>YEAR(SalesData[[#This Row],[Date]])</f>
        <v>2024</v>
      </c>
    </row>
    <row r="273" spans="1:10" x14ac:dyDescent="0.25">
      <c r="A273">
        <v>1273</v>
      </c>
      <c r="B273" s="1">
        <v>45622</v>
      </c>
      <c r="C273" t="s">
        <v>8</v>
      </c>
      <c r="D273" t="s">
        <v>24</v>
      </c>
      <c r="E273" t="s">
        <v>15</v>
      </c>
      <c r="F273">
        <f t="shared" ca="1" si="17"/>
        <v>1768</v>
      </c>
      <c r="G273">
        <f t="shared" ca="1" si="18"/>
        <v>1308.32</v>
      </c>
      <c r="H273">
        <f t="shared" ca="1" si="19"/>
        <v>459.68000000000006</v>
      </c>
      <c r="I273" t="str">
        <f t="shared" si="16"/>
        <v>Nov</v>
      </c>
      <c r="J273">
        <f>YEAR(SalesData[[#This Row],[Date]])</f>
        <v>2024</v>
      </c>
    </row>
    <row r="274" spans="1:10" x14ac:dyDescent="0.25">
      <c r="A274">
        <v>1274</v>
      </c>
      <c r="B274" s="1">
        <v>45623</v>
      </c>
      <c r="C274" t="s">
        <v>7</v>
      </c>
      <c r="D274" t="s">
        <v>13</v>
      </c>
      <c r="E274" t="s">
        <v>16</v>
      </c>
      <c r="F274">
        <f t="shared" ca="1" si="17"/>
        <v>687</v>
      </c>
      <c r="G274">
        <f t="shared" ca="1" si="18"/>
        <v>412.2</v>
      </c>
      <c r="H274">
        <f t="shared" ca="1" si="19"/>
        <v>274.8</v>
      </c>
      <c r="I274" t="str">
        <f t="shared" si="16"/>
        <v>Nov</v>
      </c>
      <c r="J274">
        <f>YEAR(SalesData[[#This Row],[Date]])</f>
        <v>2024</v>
      </c>
    </row>
    <row r="275" spans="1:10" x14ac:dyDescent="0.25">
      <c r="A275">
        <v>1275</v>
      </c>
      <c r="B275" s="1">
        <v>45624</v>
      </c>
      <c r="C275" t="s">
        <v>9</v>
      </c>
      <c r="D275" t="s">
        <v>12</v>
      </c>
      <c r="E275" t="s">
        <v>17</v>
      </c>
      <c r="F275">
        <f t="shared" ca="1" si="17"/>
        <v>629</v>
      </c>
      <c r="G275">
        <f t="shared" ca="1" si="18"/>
        <v>415.14</v>
      </c>
      <c r="H275">
        <f t="shared" ca="1" si="19"/>
        <v>213.86</v>
      </c>
      <c r="I275" t="str">
        <f t="shared" si="16"/>
        <v>Nov</v>
      </c>
      <c r="J275">
        <f>YEAR(SalesData[[#This Row],[Date]])</f>
        <v>2024</v>
      </c>
    </row>
    <row r="276" spans="1:10" x14ac:dyDescent="0.25">
      <c r="A276">
        <v>1276</v>
      </c>
      <c r="B276" s="1">
        <v>45625</v>
      </c>
      <c r="C276" t="s">
        <v>10</v>
      </c>
      <c r="D276" t="s">
        <v>24</v>
      </c>
      <c r="E276" t="s">
        <v>18</v>
      </c>
      <c r="F276">
        <f t="shared" ca="1" si="17"/>
        <v>729</v>
      </c>
      <c r="G276">
        <f t="shared" ca="1" si="18"/>
        <v>488.43</v>
      </c>
      <c r="H276">
        <f t="shared" ca="1" si="19"/>
        <v>240.57</v>
      </c>
      <c r="I276" t="str">
        <f t="shared" si="16"/>
        <v>Nov</v>
      </c>
      <c r="J276">
        <f>YEAR(SalesData[[#This Row],[Date]])</f>
        <v>2024</v>
      </c>
    </row>
    <row r="277" spans="1:10" x14ac:dyDescent="0.25">
      <c r="A277">
        <v>1277</v>
      </c>
      <c r="B277" s="1">
        <v>45626</v>
      </c>
      <c r="C277" t="s">
        <v>8</v>
      </c>
      <c r="D277" t="s">
        <v>12</v>
      </c>
      <c r="E277" t="s">
        <v>19</v>
      </c>
      <c r="F277">
        <f t="shared" ca="1" si="17"/>
        <v>1369</v>
      </c>
      <c r="G277">
        <f t="shared" ca="1" si="18"/>
        <v>999.37</v>
      </c>
      <c r="H277">
        <f t="shared" ca="1" si="19"/>
        <v>369.63</v>
      </c>
      <c r="I277" t="str">
        <f t="shared" si="16"/>
        <v>Nov</v>
      </c>
      <c r="J277">
        <f>YEAR(SalesData[[#This Row],[Date]])</f>
        <v>2024</v>
      </c>
    </row>
    <row r="278" spans="1:10" x14ac:dyDescent="0.25">
      <c r="A278">
        <v>1278</v>
      </c>
      <c r="B278" s="1">
        <v>45627</v>
      </c>
      <c r="C278" t="s">
        <v>7</v>
      </c>
      <c r="D278" t="s">
        <v>24</v>
      </c>
      <c r="E278" t="s">
        <v>20</v>
      </c>
      <c r="F278">
        <f t="shared" ca="1" si="17"/>
        <v>1114</v>
      </c>
      <c r="G278">
        <f t="shared" ca="1" si="18"/>
        <v>612.70000000000005</v>
      </c>
      <c r="H278">
        <f t="shared" ca="1" si="19"/>
        <v>501.29999999999995</v>
      </c>
      <c r="I278" t="str">
        <f t="shared" si="16"/>
        <v>Dec</v>
      </c>
      <c r="J278">
        <f>YEAR(SalesData[[#This Row],[Date]])</f>
        <v>2024</v>
      </c>
    </row>
    <row r="279" spans="1:10" x14ac:dyDescent="0.25">
      <c r="A279">
        <v>1279</v>
      </c>
      <c r="B279" s="1">
        <v>45628</v>
      </c>
      <c r="C279" t="s">
        <v>9</v>
      </c>
      <c r="D279" t="s">
        <v>13</v>
      </c>
      <c r="E279" t="s">
        <v>21</v>
      </c>
      <c r="F279">
        <f t="shared" ca="1" si="17"/>
        <v>1478</v>
      </c>
      <c r="G279">
        <f t="shared" ca="1" si="18"/>
        <v>990.26</v>
      </c>
      <c r="H279">
        <f t="shared" ca="1" si="19"/>
        <v>487.74</v>
      </c>
      <c r="I279" t="str">
        <f t="shared" si="16"/>
        <v>Dec</v>
      </c>
      <c r="J279">
        <f>YEAR(SalesData[[#This Row],[Date]])</f>
        <v>2024</v>
      </c>
    </row>
    <row r="280" spans="1:10" x14ac:dyDescent="0.25">
      <c r="A280">
        <v>1280</v>
      </c>
      <c r="B280" s="1">
        <v>45629</v>
      </c>
      <c r="C280" t="s">
        <v>10</v>
      </c>
      <c r="D280" t="s">
        <v>12</v>
      </c>
      <c r="E280" t="s">
        <v>22</v>
      </c>
      <c r="F280">
        <f t="shared" ca="1" si="17"/>
        <v>1817</v>
      </c>
      <c r="G280">
        <f t="shared" ca="1" si="18"/>
        <v>908.5</v>
      </c>
      <c r="H280">
        <f t="shared" ca="1" si="19"/>
        <v>908.5</v>
      </c>
      <c r="I280" t="str">
        <f t="shared" si="16"/>
        <v>Dec</v>
      </c>
      <c r="J280">
        <f>YEAR(SalesData[[#This Row],[Date]])</f>
        <v>2024</v>
      </c>
    </row>
    <row r="281" spans="1:10" x14ac:dyDescent="0.25">
      <c r="A281">
        <v>1281</v>
      </c>
      <c r="B281" s="1">
        <v>45630</v>
      </c>
      <c r="C281" t="s">
        <v>8</v>
      </c>
      <c r="D281" t="s">
        <v>24</v>
      </c>
      <c r="E281" t="s">
        <v>23</v>
      </c>
      <c r="F281">
        <f t="shared" ca="1" si="17"/>
        <v>1448</v>
      </c>
      <c r="G281">
        <f t="shared" ca="1" si="18"/>
        <v>1143.92</v>
      </c>
      <c r="H281">
        <f t="shared" ca="1" si="19"/>
        <v>304.07999999999993</v>
      </c>
      <c r="I281" t="str">
        <f t="shared" si="16"/>
        <v>Dec</v>
      </c>
      <c r="J281">
        <f>YEAR(SalesData[[#This Row],[Date]])</f>
        <v>2024</v>
      </c>
    </row>
    <row r="282" spans="1:10" x14ac:dyDescent="0.25">
      <c r="A282">
        <v>1282</v>
      </c>
      <c r="B282" s="1">
        <v>45631</v>
      </c>
      <c r="C282" t="s">
        <v>7</v>
      </c>
      <c r="D282" t="s">
        <v>12</v>
      </c>
      <c r="E282" t="s">
        <v>14</v>
      </c>
      <c r="F282">
        <f t="shared" ca="1" si="17"/>
        <v>897</v>
      </c>
      <c r="G282">
        <f t="shared" ca="1" si="18"/>
        <v>538.20000000000005</v>
      </c>
      <c r="H282">
        <f t="shared" ca="1" si="19"/>
        <v>358.79999999999995</v>
      </c>
      <c r="I282" t="str">
        <f t="shared" si="16"/>
        <v>Dec</v>
      </c>
      <c r="J282">
        <f>YEAR(SalesData[[#This Row],[Date]])</f>
        <v>2024</v>
      </c>
    </row>
    <row r="283" spans="1:10" x14ac:dyDescent="0.25">
      <c r="A283">
        <v>1283</v>
      </c>
      <c r="B283" s="1">
        <v>45632</v>
      </c>
      <c r="C283" t="s">
        <v>9</v>
      </c>
      <c r="D283" t="s">
        <v>24</v>
      </c>
      <c r="E283" t="s">
        <v>15</v>
      </c>
      <c r="F283">
        <f t="shared" ca="1" si="17"/>
        <v>1303</v>
      </c>
      <c r="G283">
        <f t="shared" ca="1" si="18"/>
        <v>977.25</v>
      </c>
      <c r="H283">
        <f t="shared" ca="1" si="19"/>
        <v>325.75</v>
      </c>
      <c r="I283" t="str">
        <f t="shared" si="16"/>
        <v>Dec</v>
      </c>
      <c r="J283">
        <f>YEAR(SalesData[[#This Row],[Date]])</f>
        <v>2024</v>
      </c>
    </row>
    <row r="284" spans="1:10" x14ac:dyDescent="0.25">
      <c r="A284">
        <v>1284</v>
      </c>
      <c r="B284" s="1">
        <v>45633</v>
      </c>
      <c r="C284" t="s">
        <v>10</v>
      </c>
      <c r="D284" t="s">
        <v>13</v>
      </c>
      <c r="E284" t="s">
        <v>16</v>
      </c>
      <c r="F284">
        <f t="shared" ca="1" si="17"/>
        <v>1187</v>
      </c>
      <c r="G284">
        <f t="shared" ca="1" si="18"/>
        <v>664.72</v>
      </c>
      <c r="H284">
        <f t="shared" ca="1" si="19"/>
        <v>522.28</v>
      </c>
      <c r="I284" t="str">
        <f t="shared" si="16"/>
        <v>Dec</v>
      </c>
      <c r="J284">
        <f>YEAR(SalesData[[#This Row],[Date]])</f>
        <v>2024</v>
      </c>
    </row>
    <row r="285" spans="1:10" x14ac:dyDescent="0.25">
      <c r="A285">
        <v>1285</v>
      </c>
      <c r="B285" s="1">
        <v>45634</v>
      </c>
      <c r="C285" t="s">
        <v>8</v>
      </c>
      <c r="D285" t="s">
        <v>12</v>
      </c>
      <c r="E285" t="s">
        <v>17</v>
      </c>
      <c r="F285">
        <f t="shared" ca="1" si="17"/>
        <v>1322</v>
      </c>
      <c r="G285">
        <f t="shared" ca="1" si="18"/>
        <v>806.42</v>
      </c>
      <c r="H285">
        <f t="shared" ca="1" si="19"/>
        <v>515.58000000000004</v>
      </c>
      <c r="I285" t="str">
        <f t="shared" si="16"/>
        <v>Dec</v>
      </c>
      <c r="J285">
        <f>YEAR(SalesData[[#This Row],[Date]])</f>
        <v>2024</v>
      </c>
    </row>
    <row r="286" spans="1:10" x14ac:dyDescent="0.25">
      <c r="A286">
        <v>1286</v>
      </c>
      <c r="B286" s="1">
        <v>45635</v>
      </c>
      <c r="C286" t="s">
        <v>7</v>
      </c>
      <c r="D286" t="s">
        <v>24</v>
      </c>
      <c r="E286" t="s">
        <v>18</v>
      </c>
      <c r="F286">
        <f t="shared" ca="1" si="17"/>
        <v>1234</v>
      </c>
      <c r="G286">
        <f t="shared" ca="1" si="18"/>
        <v>962.52</v>
      </c>
      <c r="H286">
        <f t="shared" ca="1" si="19"/>
        <v>271.48</v>
      </c>
      <c r="I286" t="str">
        <f t="shared" si="16"/>
        <v>Dec</v>
      </c>
      <c r="J286">
        <f>YEAR(SalesData[[#This Row],[Date]])</f>
        <v>2024</v>
      </c>
    </row>
    <row r="287" spans="1:10" x14ac:dyDescent="0.25">
      <c r="A287">
        <v>1287</v>
      </c>
      <c r="B287" s="1">
        <v>45636</v>
      </c>
      <c r="C287" t="s">
        <v>9</v>
      </c>
      <c r="D287" t="s">
        <v>12</v>
      </c>
      <c r="E287" t="s">
        <v>19</v>
      </c>
      <c r="F287">
        <f t="shared" ca="1" si="17"/>
        <v>1938</v>
      </c>
      <c r="G287">
        <f t="shared" ca="1" si="18"/>
        <v>1414.74</v>
      </c>
      <c r="H287">
        <f t="shared" ca="1" si="19"/>
        <v>523.26</v>
      </c>
      <c r="I287" t="str">
        <f t="shared" si="16"/>
        <v>Dec</v>
      </c>
      <c r="J287">
        <f>YEAR(SalesData[[#This Row],[Date]])</f>
        <v>2024</v>
      </c>
    </row>
    <row r="288" spans="1:10" x14ac:dyDescent="0.25">
      <c r="A288">
        <v>1288</v>
      </c>
      <c r="B288" s="1">
        <v>45637</v>
      </c>
      <c r="C288" t="s">
        <v>10</v>
      </c>
      <c r="D288" t="s">
        <v>24</v>
      </c>
      <c r="E288" t="s">
        <v>20</v>
      </c>
      <c r="F288">
        <f t="shared" ca="1" si="17"/>
        <v>1841</v>
      </c>
      <c r="G288">
        <f t="shared" ca="1" si="18"/>
        <v>1123.01</v>
      </c>
      <c r="H288">
        <f t="shared" ca="1" si="19"/>
        <v>717.99</v>
      </c>
      <c r="I288" t="str">
        <f t="shared" si="16"/>
        <v>Dec</v>
      </c>
      <c r="J288">
        <f>YEAR(SalesData[[#This Row],[Date]])</f>
        <v>2024</v>
      </c>
    </row>
    <row r="289" spans="1:10" x14ac:dyDescent="0.25">
      <c r="A289">
        <v>1289</v>
      </c>
      <c r="B289" s="1">
        <v>45638</v>
      </c>
      <c r="C289" t="s">
        <v>8</v>
      </c>
      <c r="D289" t="s">
        <v>13</v>
      </c>
      <c r="E289" t="s">
        <v>21</v>
      </c>
      <c r="F289">
        <f t="shared" ca="1" si="17"/>
        <v>1433</v>
      </c>
      <c r="G289">
        <f t="shared" ca="1" si="18"/>
        <v>874.13</v>
      </c>
      <c r="H289">
        <f t="shared" ca="1" si="19"/>
        <v>558.87</v>
      </c>
      <c r="I289" t="str">
        <f t="shared" si="16"/>
        <v>Dec</v>
      </c>
      <c r="J289">
        <f>YEAR(SalesData[[#This Row],[Date]])</f>
        <v>2024</v>
      </c>
    </row>
    <row r="290" spans="1:10" x14ac:dyDescent="0.25">
      <c r="A290">
        <v>1290</v>
      </c>
      <c r="B290" s="1">
        <v>45639</v>
      </c>
      <c r="C290" t="s">
        <v>7</v>
      </c>
      <c r="D290" t="s">
        <v>12</v>
      </c>
      <c r="E290" t="s">
        <v>22</v>
      </c>
      <c r="F290">
        <f t="shared" ca="1" si="17"/>
        <v>517</v>
      </c>
      <c r="G290">
        <f t="shared" ca="1" si="18"/>
        <v>320.54000000000002</v>
      </c>
      <c r="H290">
        <f t="shared" ca="1" si="19"/>
        <v>196.45999999999998</v>
      </c>
      <c r="I290" t="str">
        <f t="shared" si="16"/>
        <v>Dec</v>
      </c>
      <c r="J290">
        <f>YEAR(SalesData[[#This Row],[Date]])</f>
        <v>2024</v>
      </c>
    </row>
    <row r="291" spans="1:10" x14ac:dyDescent="0.25">
      <c r="A291">
        <v>1291</v>
      </c>
      <c r="B291" s="1">
        <v>45640</v>
      </c>
      <c r="C291" t="s">
        <v>9</v>
      </c>
      <c r="D291" t="s">
        <v>24</v>
      </c>
      <c r="E291" t="s">
        <v>23</v>
      </c>
      <c r="F291">
        <f t="shared" ca="1" si="17"/>
        <v>350</v>
      </c>
      <c r="G291">
        <f t="shared" ca="1" si="18"/>
        <v>213.5</v>
      </c>
      <c r="H291">
        <f t="shared" ca="1" si="19"/>
        <v>136.5</v>
      </c>
      <c r="I291" t="str">
        <f t="shared" si="16"/>
        <v>Dec</v>
      </c>
      <c r="J291">
        <f>YEAR(SalesData[[#This Row],[Date]])</f>
        <v>2024</v>
      </c>
    </row>
    <row r="292" spans="1:10" x14ac:dyDescent="0.25">
      <c r="A292">
        <v>1292</v>
      </c>
      <c r="B292" s="1">
        <v>45641</v>
      </c>
      <c r="C292" t="s">
        <v>10</v>
      </c>
      <c r="D292" t="s">
        <v>12</v>
      </c>
      <c r="E292" t="s">
        <v>14</v>
      </c>
      <c r="F292">
        <f t="shared" ca="1" si="17"/>
        <v>439</v>
      </c>
      <c r="G292">
        <f t="shared" ca="1" si="18"/>
        <v>338.03</v>
      </c>
      <c r="H292">
        <f t="shared" ca="1" si="19"/>
        <v>100.97000000000003</v>
      </c>
      <c r="I292" t="str">
        <f t="shared" si="16"/>
        <v>Dec</v>
      </c>
      <c r="J292">
        <f>YEAR(SalesData[[#This Row],[Date]])</f>
        <v>2024</v>
      </c>
    </row>
    <row r="293" spans="1:10" x14ac:dyDescent="0.25">
      <c r="A293">
        <v>1293</v>
      </c>
      <c r="B293" s="1">
        <v>45642</v>
      </c>
      <c r="C293" t="s">
        <v>8</v>
      </c>
      <c r="D293" t="s">
        <v>24</v>
      </c>
      <c r="E293" t="s">
        <v>15</v>
      </c>
      <c r="F293">
        <f t="shared" ca="1" si="17"/>
        <v>304</v>
      </c>
      <c r="G293">
        <f t="shared" ca="1" si="18"/>
        <v>224.96</v>
      </c>
      <c r="H293">
        <f t="shared" ca="1" si="19"/>
        <v>79.039999999999992</v>
      </c>
      <c r="I293" t="str">
        <f t="shared" si="16"/>
        <v>Dec</v>
      </c>
      <c r="J293">
        <f>YEAR(SalesData[[#This Row],[Date]])</f>
        <v>2024</v>
      </c>
    </row>
    <row r="294" spans="1:10" x14ac:dyDescent="0.25">
      <c r="A294">
        <v>1294</v>
      </c>
      <c r="B294" s="1">
        <v>45643</v>
      </c>
      <c r="C294" t="s">
        <v>7</v>
      </c>
      <c r="D294" t="s">
        <v>13</v>
      </c>
      <c r="E294" t="s">
        <v>16</v>
      </c>
      <c r="F294">
        <f t="shared" ca="1" si="17"/>
        <v>1739</v>
      </c>
      <c r="G294">
        <f t="shared" ca="1" si="18"/>
        <v>939.06</v>
      </c>
      <c r="H294">
        <f t="shared" ca="1" si="19"/>
        <v>799.94</v>
      </c>
      <c r="I294" t="str">
        <f t="shared" si="16"/>
        <v>Dec</v>
      </c>
      <c r="J294">
        <f>YEAR(SalesData[[#This Row],[Date]])</f>
        <v>2024</v>
      </c>
    </row>
    <row r="295" spans="1:10" x14ac:dyDescent="0.25">
      <c r="A295">
        <v>1295</v>
      </c>
      <c r="B295" s="1">
        <v>45644</v>
      </c>
      <c r="C295" t="s">
        <v>9</v>
      </c>
      <c r="D295" t="s">
        <v>12</v>
      </c>
      <c r="E295" t="s">
        <v>17</v>
      </c>
      <c r="F295">
        <f t="shared" ca="1" si="17"/>
        <v>395</v>
      </c>
      <c r="G295">
        <f t="shared" ca="1" si="18"/>
        <v>197.5</v>
      </c>
      <c r="H295">
        <f t="shared" ca="1" si="19"/>
        <v>197.5</v>
      </c>
      <c r="I295" t="str">
        <f t="shared" si="16"/>
        <v>Dec</v>
      </c>
      <c r="J295">
        <f>YEAR(SalesData[[#This Row],[Date]])</f>
        <v>2024</v>
      </c>
    </row>
    <row r="296" spans="1:10" x14ac:dyDescent="0.25">
      <c r="A296">
        <v>1296</v>
      </c>
      <c r="B296" s="1">
        <v>45645</v>
      </c>
      <c r="C296" t="s">
        <v>10</v>
      </c>
      <c r="D296" t="s">
        <v>24</v>
      </c>
      <c r="E296" t="s">
        <v>18</v>
      </c>
      <c r="F296">
        <f t="shared" ca="1" si="17"/>
        <v>742</v>
      </c>
      <c r="G296">
        <f t="shared" ca="1" si="18"/>
        <v>556.5</v>
      </c>
      <c r="H296">
        <f t="shared" ca="1" si="19"/>
        <v>185.5</v>
      </c>
      <c r="I296" t="str">
        <f t="shared" si="16"/>
        <v>Dec</v>
      </c>
      <c r="J296">
        <f>YEAR(SalesData[[#This Row],[Date]])</f>
        <v>2024</v>
      </c>
    </row>
    <row r="297" spans="1:10" x14ac:dyDescent="0.25">
      <c r="A297">
        <v>1297</v>
      </c>
      <c r="B297" s="1">
        <v>45646</v>
      </c>
      <c r="C297" t="s">
        <v>8</v>
      </c>
      <c r="D297" t="s">
        <v>12</v>
      </c>
      <c r="E297" t="s">
        <v>19</v>
      </c>
      <c r="F297">
        <f t="shared" ca="1" si="17"/>
        <v>946</v>
      </c>
      <c r="G297">
        <f t="shared" ca="1" si="18"/>
        <v>728.42</v>
      </c>
      <c r="H297">
        <f t="shared" ca="1" si="19"/>
        <v>217.58000000000004</v>
      </c>
      <c r="I297" t="str">
        <f t="shared" si="16"/>
        <v>Dec</v>
      </c>
      <c r="J297">
        <f>YEAR(SalesData[[#This Row],[Date]])</f>
        <v>2024</v>
      </c>
    </row>
    <row r="298" spans="1:10" x14ac:dyDescent="0.25">
      <c r="A298">
        <v>1298</v>
      </c>
      <c r="B298" s="1">
        <v>45647</v>
      </c>
      <c r="C298" t="s">
        <v>7</v>
      </c>
      <c r="D298" t="s">
        <v>24</v>
      </c>
      <c r="E298" t="s">
        <v>20</v>
      </c>
      <c r="F298">
        <f t="shared" ca="1" si="17"/>
        <v>1280</v>
      </c>
      <c r="G298">
        <f t="shared" ca="1" si="18"/>
        <v>972.8</v>
      </c>
      <c r="H298">
        <f t="shared" ca="1" si="19"/>
        <v>307.20000000000005</v>
      </c>
      <c r="I298" t="str">
        <f t="shared" si="16"/>
        <v>Dec</v>
      </c>
      <c r="J298">
        <f>YEAR(SalesData[[#This Row],[Date]])</f>
        <v>2024</v>
      </c>
    </row>
    <row r="299" spans="1:10" x14ac:dyDescent="0.25">
      <c r="A299">
        <v>1299</v>
      </c>
      <c r="B299" s="1">
        <v>45648</v>
      </c>
      <c r="C299" t="s">
        <v>9</v>
      </c>
      <c r="D299" t="s">
        <v>13</v>
      </c>
      <c r="E299" t="s">
        <v>21</v>
      </c>
      <c r="F299">
        <f t="shared" ca="1" si="17"/>
        <v>1611</v>
      </c>
      <c r="G299">
        <f t="shared" ca="1" si="18"/>
        <v>821.61</v>
      </c>
      <c r="H299">
        <f t="shared" ca="1" si="19"/>
        <v>789.39</v>
      </c>
      <c r="I299" t="str">
        <f t="shared" si="16"/>
        <v>Dec</v>
      </c>
      <c r="J299">
        <f>YEAR(SalesData[[#This Row],[Date]])</f>
        <v>2024</v>
      </c>
    </row>
    <row r="300" spans="1:10" x14ac:dyDescent="0.25">
      <c r="A300">
        <v>1300</v>
      </c>
      <c r="B300" s="1">
        <v>45649</v>
      </c>
      <c r="C300" t="s">
        <v>10</v>
      </c>
      <c r="D300" t="s">
        <v>12</v>
      </c>
      <c r="E300" t="s">
        <v>22</v>
      </c>
      <c r="F300">
        <f t="shared" ca="1" si="17"/>
        <v>619</v>
      </c>
      <c r="G300">
        <f t="shared" ca="1" si="18"/>
        <v>445.68</v>
      </c>
      <c r="H300">
        <f t="shared" ca="1" si="19"/>
        <v>173.32</v>
      </c>
      <c r="I300" t="str">
        <f t="shared" si="16"/>
        <v>Dec</v>
      </c>
      <c r="J300">
        <f>YEAR(SalesData[[#This Row],[Date]])</f>
        <v>2024</v>
      </c>
    </row>
    <row r="301" spans="1:10" x14ac:dyDescent="0.25">
      <c r="A301">
        <v>1301</v>
      </c>
      <c r="B301" s="1">
        <v>45650</v>
      </c>
      <c r="C301" t="s">
        <v>8</v>
      </c>
      <c r="D301" t="s">
        <v>24</v>
      </c>
      <c r="E301" t="s">
        <v>23</v>
      </c>
      <c r="F301">
        <f t="shared" ca="1" si="17"/>
        <v>919</v>
      </c>
      <c r="G301">
        <f t="shared" ca="1" si="18"/>
        <v>477.88</v>
      </c>
      <c r="H301">
        <f t="shared" ca="1" si="19"/>
        <v>441.12</v>
      </c>
      <c r="I301" t="str">
        <f t="shared" si="16"/>
        <v>Dec</v>
      </c>
      <c r="J301">
        <f>YEAR(SalesData[[#This Row],[Date]])</f>
        <v>2024</v>
      </c>
    </row>
    <row r="302" spans="1:10" x14ac:dyDescent="0.25">
      <c r="A302">
        <v>1302</v>
      </c>
      <c r="B302" s="1">
        <v>45651</v>
      </c>
      <c r="C302" t="s">
        <v>7</v>
      </c>
      <c r="D302" t="s">
        <v>12</v>
      </c>
      <c r="E302" t="s">
        <v>14</v>
      </c>
      <c r="F302">
        <f t="shared" ca="1" si="17"/>
        <v>523</v>
      </c>
      <c r="G302">
        <f t="shared" ca="1" si="18"/>
        <v>350.41</v>
      </c>
      <c r="H302">
        <f t="shared" ca="1" si="19"/>
        <v>172.58999999999997</v>
      </c>
      <c r="I302" t="str">
        <f t="shared" si="16"/>
        <v>Dec</v>
      </c>
      <c r="J302">
        <f>YEAR(SalesData[[#This Row],[Date]])</f>
        <v>2024</v>
      </c>
    </row>
    <row r="303" spans="1:10" x14ac:dyDescent="0.25">
      <c r="A303">
        <v>1303</v>
      </c>
      <c r="B303" s="1">
        <v>45652</v>
      </c>
      <c r="C303" t="s">
        <v>9</v>
      </c>
      <c r="D303" t="s">
        <v>24</v>
      </c>
      <c r="E303" t="s">
        <v>15</v>
      </c>
      <c r="F303">
        <f t="shared" ca="1" si="17"/>
        <v>1497</v>
      </c>
      <c r="G303">
        <f t="shared" ca="1" si="18"/>
        <v>1107.78</v>
      </c>
      <c r="H303">
        <f t="shared" ca="1" si="19"/>
        <v>389.22</v>
      </c>
      <c r="I303" t="str">
        <f t="shared" si="16"/>
        <v>Dec</v>
      </c>
      <c r="J303">
        <f>YEAR(SalesData[[#This Row],[Date]])</f>
        <v>2024</v>
      </c>
    </row>
    <row r="304" spans="1:10" x14ac:dyDescent="0.25">
      <c r="A304">
        <v>1304</v>
      </c>
      <c r="B304" s="1">
        <v>45653</v>
      </c>
      <c r="C304" t="s">
        <v>10</v>
      </c>
      <c r="D304" t="s">
        <v>13</v>
      </c>
      <c r="E304" t="s">
        <v>16</v>
      </c>
      <c r="F304">
        <f t="shared" ca="1" si="17"/>
        <v>1910</v>
      </c>
      <c r="G304">
        <f t="shared" ca="1" si="18"/>
        <v>1260.5999999999999</v>
      </c>
      <c r="H304">
        <f t="shared" ca="1" si="19"/>
        <v>649.40000000000009</v>
      </c>
      <c r="I304" t="str">
        <f t="shared" si="16"/>
        <v>Dec</v>
      </c>
      <c r="J304">
        <f>YEAR(SalesData[[#This Row],[Date]])</f>
        <v>2024</v>
      </c>
    </row>
    <row r="305" spans="1:10" x14ac:dyDescent="0.25">
      <c r="A305">
        <v>1305</v>
      </c>
      <c r="B305" s="1">
        <v>45654</v>
      </c>
      <c r="C305" t="s">
        <v>8</v>
      </c>
      <c r="D305" t="s">
        <v>12</v>
      </c>
      <c r="E305" t="s">
        <v>17</v>
      </c>
      <c r="F305">
        <f t="shared" ca="1" si="17"/>
        <v>1687</v>
      </c>
      <c r="G305">
        <f t="shared" ca="1" si="18"/>
        <v>1130.29</v>
      </c>
      <c r="H305">
        <f t="shared" ca="1" si="19"/>
        <v>556.71</v>
      </c>
      <c r="I305" t="str">
        <f t="shared" si="16"/>
        <v>Dec</v>
      </c>
      <c r="J305">
        <f>YEAR(SalesData[[#This Row],[Date]])</f>
        <v>2024</v>
      </c>
    </row>
    <row r="306" spans="1:10" x14ac:dyDescent="0.25">
      <c r="A306">
        <v>1306</v>
      </c>
      <c r="B306" s="1">
        <v>45655</v>
      </c>
      <c r="C306" t="s">
        <v>7</v>
      </c>
      <c r="D306" t="s">
        <v>24</v>
      </c>
      <c r="E306" t="s">
        <v>18</v>
      </c>
      <c r="F306">
        <f t="shared" ca="1" si="17"/>
        <v>1943</v>
      </c>
      <c r="G306">
        <f t="shared" ca="1" si="18"/>
        <v>1321.24</v>
      </c>
      <c r="H306">
        <f t="shared" ca="1" si="19"/>
        <v>621.76</v>
      </c>
      <c r="I306" t="str">
        <f t="shared" si="16"/>
        <v>Dec</v>
      </c>
      <c r="J306">
        <f>YEAR(SalesData[[#This Row],[Date]])</f>
        <v>2024</v>
      </c>
    </row>
    <row r="307" spans="1:10" x14ac:dyDescent="0.25">
      <c r="A307">
        <v>1307</v>
      </c>
      <c r="B307" s="1">
        <v>45656</v>
      </c>
      <c r="C307" t="s">
        <v>9</v>
      </c>
      <c r="D307" t="s">
        <v>12</v>
      </c>
      <c r="E307" t="s">
        <v>19</v>
      </c>
      <c r="F307">
        <f t="shared" ca="1" si="17"/>
        <v>1365</v>
      </c>
      <c r="G307">
        <f t="shared" ca="1" si="18"/>
        <v>696.15</v>
      </c>
      <c r="H307">
        <f t="shared" ca="1" si="19"/>
        <v>668.85</v>
      </c>
      <c r="I307" t="str">
        <f t="shared" si="16"/>
        <v>Dec</v>
      </c>
      <c r="J307">
        <f>YEAR(SalesData[[#This Row],[Date]])</f>
        <v>2024</v>
      </c>
    </row>
    <row r="308" spans="1:10" x14ac:dyDescent="0.25">
      <c r="A308">
        <v>1308</v>
      </c>
      <c r="B308" s="1">
        <v>45657</v>
      </c>
      <c r="C308" t="s">
        <v>10</v>
      </c>
      <c r="D308" t="s">
        <v>24</v>
      </c>
      <c r="E308" t="s">
        <v>20</v>
      </c>
      <c r="F308">
        <f t="shared" ca="1" si="17"/>
        <v>555</v>
      </c>
      <c r="G308">
        <f t="shared" ca="1" si="18"/>
        <v>344.1</v>
      </c>
      <c r="H308">
        <f t="shared" ca="1" si="19"/>
        <v>210.89999999999998</v>
      </c>
      <c r="I308" t="str">
        <f t="shared" si="16"/>
        <v>Dec</v>
      </c>
      <c r="J308">
        <f>YEAR(SalesData[[#This Row],[Date]])</f>
        <v>2024</v>
      </c>
    </row>
    <row r="309" spans="1:10" x14ac:dyDescent="0.25">
      <c r="A309">
        <v>1309</v>
      </c>
      <c r="B309" s="1">
        <v>45658</v>
      </c>
      <c r="C309" t="s">
        <v>8</v>
      </c>
      <c r="D309" t="s">
        <v>13</v>
      </c>
      <c r="E309" t="s">
        <v>21</v>
      </c>
      <c r="F309">
        <f t="shared" ca="1" si="17"/>
        <v>732</v>
      </c>
      <c r="G309">
        <f t="shared" ca="1" si="18"/>
        <v>585.6</v>
      </c>
      <c r="H309">
        <f t="shared" ca="1" si="19"/>
        <v>146.39999999999998</v>
      </c>
      <c r="I309" t="str">
        <f t="shared" si="16"/>
        <v>Jan</v>
      </c>
      <c r="J309">
        <f>YEAR(SalesData[[#This Row],[Date]])</f>
        <v>2025</v>
      </c>
    </row>
    <row r="310" spans="1:10" x14ac:dyDescent="0.25">
      <c r="A310">
        <v>1310</v>
      </c>
      <c r="B310" s="1">
        <v>45659</v>
      </c>
      <c r="C310" t="s">
        <v>7</v>
      </c>
      <c r="D310" t="s">
        <v>12</v>
      </c>
      <c r="E310" t="s">
        <v>22</v>
      </c>
      <c r="F310">
        <f t="shared" ca="1" si="17"/>
        <v>1596</v>
      </c>
      <c r="G310">
        <f t="shared" ca="1" si="18"/>
        <v>1069.32</v>
      </c>
      <c r="H310">
        <f t="shared" ca="1" si="19"/>
        <v>526.68000000000006</v>
      </c>
      <c r="I310" t="str">
        <f t="shared" si="16"/>
        <v>Jan</v>
      </c>
      <c r="J310">
        <f>YEAR(SalesData[[#This Row],[Date]])</f>
        <v>2025</v>
      </c>
    </row>
    <row r="311" spans="1:10" x14ac:dyDescent="0.25">
      <c r="A311">
        <v>1311</v>
      </c>
      <c r="B311" s="1">
        <v>45660</v>
      </c>
      <c r="C311" t="s">
        <v>9</v>
      </c>
      <c r="D311" t="s">
        <v>24</v>
      </c>
      <c r="E311" t="s">
        <v>23</v>
      </c>
      <c r="F311">
        <f t="shared" ca="1" si="17"/>
        <v>1664</v>
      </c>
      <c r="G311">
        <f t="shared" ca="1" si="18"/>
        <v>1248</v>
      </c>
      <c r="H311">
        <f t="shared" ca="1" si="19"/>
        <v>416</v>
      </c>
      <c r="I311" t="str">
        <f t="shared" si="16"/>
        <v>Jan</v>
      </c>
      <c r="J311">
        <f>YEAR(SalesData[[#This Row],[Date]])</f>
        <v>2025</v>
      </c>
    </row>
    <row r="312" spans="1:10" x14ac:dyDescent="0.25">
      <c r="A312">
        <v>1312</v>
      </c>
      <c r="B312" s="1">
        <v>45661</v>
      </c>
      <c r="C312" t="s">
        <v>10</v>
      </c>
      <c r="D312" t="s">
        <v>12</v>
      </c>
      <c r="E312" t="s">
        <v>14</v>
      </c>
      <c r="F312">
        <f t="shared" ca="1" si="17"/>
        <v>1563</v>
      </c>
      <c r="G312">
        <f t="shared" ca="1" si="18"/>
        <v>812.76</v>
      </c>
      <c r="H312">
        <f t="shared" ca="1" si="19"/>
        <v>750.24</v>
      </c>
      <c r="I312" t="str">
        <f t="shared" si="16"/>
        <v>Jan</v>
      </c>
      <c r="J312">
        <f>YEAR(SalesData[[#This Row],[Date]])</f>
        <v>2025</v>
      </c>
    </row>
    <row r="313" spans="1:10" x14ac:dyDescent="0.25">
      <c r="A313">
        <v>1313</v>
      </c>
      <c r="B313" s="1">
        <v>45662</v>
      </c>
      <c r="C313" t="s">
        <v>8</v>
      </c>
      <c r="D313" t="s">
        <v>24</v>
      </c>
      <c r="E313" t="s">
        <v>15</v>
      </c>
      <c r="F313">
        <f t="shared" ca="1" si="17"/>
        <v>1154</v>
      </c>
      <c r="G313">
        <f t="shared" ca="1" si="18"/>
        <v>577</v>
      </c>
      <c r="H313">
        <f t="shared" ca="1" si="19"/>
        <v>577</v>
      </c>
      <c r="I313" t="str">
        <f t="shared" si="16"/>
        <v>Jan</v>
      </c>
      <c r="J313">
        <f>YEAR(SalesData[[#This Row],[Date]])</f>
        <v>2025</v>
      </c>
    </row>
    <row r="314" spans="1:10" x14ac:dyDescent="0.25">
      <c r="A314">
        <v>1314</v>
      </c>
      <c r="B314" s="1">
        <v>45663</v>
      </c>
      <c r="C314" t="s">
        <v>7</v>
      </c>
      <c r="D314" t="s">
        <v>13</v>
      </c>
      <c r="E314" t="s">
        <v>16</v>
      </c>
      <c r="F314">
        <f t="shared" ca="1" si="17"/>
        <v>445</v>
      </c>
      <c r="G314">
        <f t="shared" ca="1" si="18"/>
        <v>258.10000000000002</v>
      </c>
      <c r="H314">
        <f t="shared" ca="1" si="19"/>
        <v>186.89999999999998</v>
      </c>
      <c r="I314" t="str">
        <f t="shared" si="16"/>
        <v>Jan</v>
      </c>
      <c r="J314">
        <f>YEAR(SalesData[[#This Row],[Date]])</f>
        <v>2025</v>
      </c>
    </row>
    <row r="315" spans="1:10" x14ac:dyDescent="0.25">
      <c r="A315">
        <v>1315</v>
      </c>
      <c r="B315" s="1">
        <v>45664</v>
      </c>
      <c r="C315" t="s">
        <v>9</v>
      </c>
      <c r="D315" t="s">
        <v>12</v>
      </c>
      <c r="E315" t="s">
        <v>17</v>
      </c>
      <c r="F315">
        <f t="shared" ca="1" si="17"/>
        <v>1535</v>
      </c>
      <c r="G315">
        <f t="shared" ca="1" si="18"/>
        <v>967.05</v>
      </c>
      <c r="H315">
        <f t="shared" ca="1" si="19"/>
        <v>567.95000000000005</v>
      </c>
      <c r="I315" t="str">
        <f t="shared" si="16"/>
        <v>Jan</v>
      </c>
      <c r="J315">
        <f>YEAR(SalesData[[#This Row],[Date]])</f>
        <v>2025</v>
      </c>
    </row>
    <row r="316" spans="1:10" x14ac:dyDescent="0.25">
      <c r="A316">
        <v>1316</v>
      </c>
      <c r="B316" s="1">
        <v>45665</v>
      </c>
      <c r="C316" t="s">
        <v>10</v>
      </c>
      <c r="D316" t="s">
        <v>24</v>
      </c>
      <c r="E316" t="s">
        <v>18</v>
      </c>
      <c r="F316">
        <f t="shared" ca="1" si="17"/>
        <v>807</v>
      </c>
      <c r="G316">
        <f t="shared" ca="1" si="18"/>
        <v>435.78</v>
      </c>
      <c r="H316">
        <f t="shared" ca="1" si="19"/>
        <v>371.22</v>
      </c>
      <c r="I316" t="str">
        <f t="shared" si="16"/>
        <v>Jan</v>
      </c>
      <c r="J316">
        <f>YEAR(SalesData[[#This Row],[Date]])</f>
        <v>2025</v>
      </c>
    </row>
    <row r="317" spans="1:10" x14ac:dyDescent="0.25">
      <c r="A317">
        <v>1317</v>
      </c>
      <c r="B317" s="1">
        <v>45666</v>
      </c>
      <c r="C317" t="s">
        <v>8</v>
      </c>
      <c r="D317" t="s">
        <v>12</v>
      </c>
      <c r="E317" t="s">
        <v>19</v>
      </c>
      <c r="F317">
        <f t="shared" ca="1" si="17"/>
        <v>1805</v>
      </c>
      <c r="G317">
        <f t="shared" ca="1" si="18"/>
        <v>1263.5</v>
      </c>
      <c r="H317">
        <f t="shared" ca="1" si="19"/>
        <v>541.5</v>
      </c>
      <c r="I317" t="str">
        <f t="shared" si="16"/>
        <v>Jan</v>
      </c>
      <c r="J317">
        <f>YEAR(SalesData[[#This Row],[Date]])</f>
        <v>2025</v>
      </c>
    </row>
    <row r="318" spans="1:10" x14ac:dyDescent="0.25">
      <c r="A318">
        <v>1318</v>
      </c>
      <c r="B318" s="1">
        <v>45667</v>
      </c>
      <c r="C318" t="s">
        <v>7</v>
      </c>
      <c r="D318" t="s">
        <v>24</v>
      </c>
      <c r="E318" t="s">
        <v>20</v>
      </c>
      <c r="F318">
        <f t="shared" ca="1" si="17"/>
        <v>1439</v>
      </c>
      <c r="G318">
        <f t="shared" ca="1" si="18"/>
        <v>892.18</v>
      </c>
      <c r="H318">
        <f t="shared" ca="1" si="19"/>
        <v>546.82000000000005</v>
      </c>
      <c r="I318" t="str">
        <f t="shared" si="16"/>
        <v>Jan</v>
      </c>
      <c r="J318">
        <f>YEAR(SalesData[[#This Row],[Date]])</f>
        <v>2025</v>
      </c>
    </row>
    <row r="319" spans="1:10" x14ac:dyDescent="0.25">
      <c r="A319">
        <v>1319</v>
      </c>
      <c r="B319" s="1">
        <v>45668</v>
      </c>
      <c r="C319" t="s">
        <v>9</v>
      </c>
      <c r="D319" t="s">
        <v>13</v>
      </c>
      <c r="E319" t="s">
        <v>21</v>
      </c>
      <c r="F319">
        <f t="shared" ca="1" si="17"/>
        <v>1283</v>
      </c>
      <c r="G319">
        <f t="shared" ca="1" si="18"/>
        <v>936.59</v>
      </c>
      <c r="H319">
        <f t="shared" ca="1" si="19"/>
        <v>346.40999999999997</v>
      </c>
      <c r="I319" t="str">
        <f t="shared" si="16"/>
        <v>Jan</v>
      </c>
      <c r="J319">
        <f>YEAR(SalesData[[#This Row],[Date]])</f>
        <v>2025</v>
      </c>
    </row>
    <row r="320" spans="1:10" x14ac:dyDescent="0.25">
      <c r="A320">
        <v>1320</v>
      </c>
      <c r="B320" s="1">
        <v>45669</v>
      </c>
      <c r="C320" t="s">
        <v>10</v>
      </c>
      <c r="D320" t="s">
        <v>12</v>
      </c>
      <c r="E320" t="s">
        <v>22</v>
      </c>
      <c r="F320">
        <f t="shared" ca="1" si="17"/>
        <v>1866</v>
      </c>
      <c r="G320">
        <f t="shared" ca="1" si="18"/>
        <v>1194.24</v>
      </c>
      <c r="H320">
        <f t="shared" ca="1" si="19"/>
        <v>671.76</v>
      </c>
      <c r="I320" t="str">
        <f t="shared" si="16"/>
        <v>Jan</v>
      </c>
      <c r="J320">
        <f>YEAR(SalesData[[#This Row],[Date]])</f>
        <v>2025</v>
      </c>
    </row>
    <row r="321" spans="1:10" x14ac:dyDescent="0.25">
      <c r="A321">
        <v>1321</v>
      </c>
      <c r="B321" s="1">
        <v>45670</v>
      </c>
      <c r="C321" t="s">
        <v>8</v>
      </c>
      <c r="D321" t="s">
        <v>24</v>
      </c>
      <c r="E321" t="s">
        <v>23</v>
      </c>
      <c r="F321">
        <f t="shared" ca="1" si="17"/>
        <v>1133</v>
      </c>
      <c r="G321">
        <f t="shared" ca="1" si="18"/>
        <v>634.48</v>
      </c>
      <c r="H321">
        <f t="shared" ca="1" si="19"/>
        <v>498.52</v>
      </c>
      <c r="I321" t="str">
        <f t="shared" si="16"/>
        <v>Jan</v>
      </c>
      <c r="J321">
        <f>YEAR(SalesData[[#This Row],[Date]])</f>
        <v>2025</v>
      </c>
    </row>
    <row r="322" spans="1:10" x14ac:dyDescent="0.25">
      <c r="A322">
        <v>1322</v>
      </c>
      <c r="B322" s="1">
        <v>45671</v>
      </c>
      <c r="C322" t="s">
        <v>7</v>
      </c>
      <c r="D322" t="s">
        <v>12</v>
      </c>
      <c r="E322" t="s">
        <v>14</v>
      </c>
      <c r="F322">
        <f t="shared" ca="1" si="17"/>
        <v>754</v>
      </c>
      <c r="G322">
        <f t="shared" ca="1" si="18"/>
        <v>520.26</v>
      </c>
      <c r="H322">
        <f t="shared" ca="1" si="19"/>
        <v>233.74</v>
      </c>
      <c r="I322" t="str">
        <f t="shared" ref="I322:I385" si="20">TEXT(B322,"mmm")</f>
        <v>Jan</v>
      </c>
      <c r="J322">
        <f>YEAR(SalesData[[#This Row],[Date]])</f>
        <v>2025</v>
      </c>
    </row>
    <row r="323" spans="1:10" x14ac:dyDescent="0.25">
      <c r="A323">
        <v>1323</v>
      </c>
      <c r="B323" s="1">
        <v>45672</v>
      </c>
      <c r="C323" t="s">
        <v>9</v>
      </c>
      <c r="D323" t="s">
        <v>24</v>
      </c>
      <c r="E323" t="s">
        <v>15</v>
      </c>
      <c r="F323">
        <f t="shared" ref="F323:F386" ca="1" si="21">RANDBETWEEN(300,2000)</f>
        <v>1601</v>
      </c>
      <c r="G323">
        <f t="shared" ref="G323:G386" ca="1" si="22">F323*RANDBETWEEN(50,80)/100</f>
        <v>944.59</v>
      </c>
      <c r="H323">
        <f t="shared" ref="H323:H386" ca="1" si="23">F323-G323</f>
        <v>656.41</v>
      </c>
      <c r="I323" t="str">
        <f t="shared" si="20"/>
        <v>Jan</v>
      </c>
      <c r="J323">
        <f>YEAR(SalesData[[#This Row],[Date]])</f>
        <v>2025</v>
      </c>
    </row>
    <row r="324" spans="1:10" x14ac:dyDescent="0.25">
      <c r="A324">
        <v>1324</v>
      </c>
      <c r="B324" s="1">
        <v>45673</v>
      </c>
      <c r="C324" t="s">
        <v>10</v>
      </c>
      <c r="D324" t="s">
        <v>13</v>
      </c>
      <c r="E324" t="s">
        <v>16</v>
      </c>
      <c r="F324">
        <f t="shared" ca="1" si="21"/>
        <v>1568</v>
      </c>
      <c r="G324">
        <f t="shared" ca="1" si="22"/>
        <v>1081.92</v>
      </c>
      <c r="H324">
        <f t="shared" ca="1" si="23"/>
        <v>486.07999999999993</v>
      </c>
      <c r="I324" t="str">
        <f t="shared" si="20"/>
        <v>Jan</v>
      </c>
      <c r="J324">
        <f>YEAR(SalesData[[#This Row],[Date]])</f>
        <v>2025</v>
      </c>
    </row>
    <row r="325" spans="1:10" x14ac:dyDescent="0.25">
      <c r="A325">
        <v>1325</v>
      </c>
      <c r="B325" s="1">
        <v>45674</v>
      </c>
      <c r="C325" t="s">
        <v>8</v>
      </c>
      <c r="D325" t="s">
        <v>12</v>
      </c>
      <c r="E325" t="s">
        <v>17</v>
      </c>
      <c r="F325">
        <f t="shared" ca="1" si="21"/>
        <v>1415</v>
      </c>
      <c r="G325">
        <f t="shared" ca="1" si="22"/>
        <v>1132</v>
      </c>
      <c r="H325">
        <f t="shared" ca="1" si="23"/>
        <v>283</v>
      </c>
      <c r="I325" t="str">
        <f t="shared" si="20"/>
        <v>Jan</v>
      </c>
      <c r="J325">
        <f>YEAR(SalesData[[#This Row],[Date]])</f>
        <v>2025</v>
      </c>
    </row>
    <row r="326" spans="1:10" x14ac:dyDescent="0.25">
      <c r="A326">
        <v>1326</v>
      </c>
      <c r="B326" s="1">
        <v>45675</v>
      </c>
      <c r="C326" t="s">
        <v>7</v>
      </c>
      <c r="D326" t="s">
        <v>24</v>
      </c>
      <c r="E326" t="s">
        <v>18</v>
      </c>
      <c r="F326">
        <f t="shared" ca="1" si="21"/>
        <v>487</v>
      </c>
      <c r="G326">
        <f t="shared" ca="1" si="22"/>
        <v>370.12</v>
      </c>
      <c r="H326">
        <f t="shared" ca="1" si="23"/>
        <v>116.88</v>
      </c>
      <c r="I326" t="str">
        <f t="shared" si="20"/>
        <v>Jan</v>
      </c>
      <c r="J326">
        <f>YEAR(SalesData[[#This Row],[Date]])</f>
        <v>2025</v>
      </c>
    </row>
    <row r="327" spans="1:10" x14ac:dyDescent="0.25">
      <c r="A327">
        <v>1327</v>
      </c>
      <c r="B327" s="1">
        <v>45676</v>
      </c>
      <c r="C327" t="s">
        <v>9</v>
      </c>
      <c r="D327" t="s">
        <v>12</v>
      </c>
      <c r="E327" t="s">
        <v>19</v>
      </c>
      <c r="F327">
        <f t="shared" ca="1" si="21"/>
        <v>713</v>
      </c>
      <c r="G327">
        <f t="shared" ca="1" si="22"/>
        <v>370.76</v>
      </c>
      <c r="H327">
        <f t="shared" ca="1" si="23"/>
        <v>342.24</v>
      </c>
      <c r="I327" t="str">
        <f t="shared" si="20"/>
        <v>Jan</v>
      </c>
      <c r="J327">
        <f>YEAR(SalesData[[#This Row],[Date]])</f>
        <v>2025</v>
      </c>
    </row>
    <row r="328" spans="1:10" x14ac:dyDescent="0.25">
      <c r="A328">
        <v>1328</v>
      </c>
      <c r="B328" s="1">
        <v>45677</v>
      </c>
      <c r="C328" t="s">
        <v>10</v>
      </c>
      <c r="D328" t="s">
        <v>24</v>
      </c>
      <c r="E328" t="s">
        <v>20</v>
      </c>
      <c r="F328">
        <f t="shared" ca="1" si="21"/>
        <v>355</v>
      </c>
      <c r="G328">
        <f t="shared" ca="1" si="22"/>
        <v>205.9</v>
      </c>
      <c r="H328">
        <f t="shared" ca="1" si="23"/>
        <v>149.1</v>
      </c>
      <c r="I328" t="str">
        <f t="shared" si="20"/>
        <v>Jan</v>
      </c>
      <c r="J328">
        <f>YEAR(SalesData[[#This Row],[Date]])</f>
        <v>2025</v>
      </c>
    </row>
    <row r="329" spans="1:10" x14ac:dyDescent="0.25">
      <c r="A329">
        <v>1329</v>
      </c>
      <c r="B329" s="1">
        <v>45678</v>
      </c>
      <c r="C329" t="s">
        <v>8</v>
      </c>
      <c r="D329" t="s">
        <v>13</v>
      </c>
      <c r="E329" t="s">
        <v>21</v>
      </c>
      <c r="F329">
        <f t="shared" ca="1" si="21"/>
        <v>1368</v>
      </c>
      <c r="G329">
        <f t="shared" ca="1" si="22"/>
        <v>684</v>
      </c>
      <c r="H329">
        <f t="shared" ca="1" si="23"/>
        <v>684</v>
      </c>
      <c r="I329" t="str">
        <f t="shared" si="20"/>
        <v>Jan</v>
      </c>
      <c r="J329">
        <f>YEAR(SalesData[[#This Row],[Date]])</f>
        <v>2025</v>
      </c>
    </row>
    <row r="330" spans="1:10" x14ac:dyDescent="0.25">
      <c r="A330">
        <v>1330</v>
      </c>
      <c r="B330" s="1">
        <v>45679</v>
      </c>
      <c r="C330" t="s">
        <v>7</v>
      </c>
      <c r="D330" t="s">
        <v>12</v>
      </c>
      <c r="E330" t="s">
        <v>22</v>
      </c>
      <c r="F330">
        <f t="shared" ca="1" si="21"/>
        <v>468</v>
      </c>
      <c r="G330">
        <f t="shared" ca="1" si="22"/>
        <v>327.60000000000002</v>
      </c>
      <c r="H330">
        <f t="shared" ca="1" si="23"/>
        <v>140.39999999999998</v>
      </c>
      <c r="I330" t="str">
        <f t="shared" si="20"/>
        <v>Jan</v>
      </c>
      <c r="J330">
        <f>YEAR(SalesData[[#This Row],[Date]])</f>
        <v>2025</v>
      </c>
    </row>
    <row r="331" spans="1:10" x14ac:dyDescent="0.25">
      <c r="A331">
        <v>1331</v>
      </c>
      <c r="B331" s="1">
        <v>45680</v>
      </c>
      <c r="C331" t="s">
        <v>9</v>
      </c>
      <c r="D331" t="s">
        <v>24</v>
      </c>
      <c r="E331" t="s">
        <v>23</v>
      </c>
      <c r="F331">
        <f t="shared" ca="1" si="21"/>
        <v>1742</v>
      </c>
      <c r="G331">
        <f t="shared" ca="1" si="22"/>
        <v>1010.36</v>
      </c>
      <c r="H331">
        <f t="shared" ca="1" si="23"/>
        <v>731.64</v>
      </c>
      <c r="I331" t="str">
        <f t="shared" si="20"/>
        <v>Jan</v>
      </c>
      <c r="J331">
        <f>YEAR(SalesData[[#This Row],[Date]])</f>
        <v>2025</v>
      </c>
    </row>
    <row r="332" spans="1:10" x14ac:dyDescent="0.25">
      <c r="A332">
        <v>1332</v>
      </c>
      <c r="B332" s="1">
        <v>45681</v>
      </c>
      <c r="C332" t="s">
        <v>10</v>
      </c>
      <c r="D332" t="s">
        <v>12</v>
      </c>
      <c r="E332" t="s">
        <v>14</v>
      </c>
      <c r="F332">
        <f t="shared" ca="1" si="21"/>
        <v>1053</v>
      </c>
      <c r="G332">
        <f t="shared" ca="1" si="22"/>
        <v>821.34</v>
      </c>
      <c r="H332">
        <f t="shared" ca="1" si="23"/>
        <v>231.65999999999997</v>
      </c>
      <c r="I332" t="str">
        <f t="shared" si="20"/>
        <v>Jan</v>
      </c>
      <c r="J332">
        <f>YEAR(SalesData[[#This Row],[Date]])</f>
        <v>2025</v>
      </c>
    </row>
    <row r="333" spans="1:10" x14ac:dyDescent="0.25">
      <c r="A333">
        <v>1333</v>
      </c>
      <c r="B333" s="1">
        <v>45682</v>
      </c>
      <c r="C333" t="s">
        <v>8</v>
      </c>
      <c r="D333" t="s">
        <v>24</v>
      </c>
      <c r="E333" t="s">
        <v>15</v>
      </c>
      <c r="F333">
        <f t="shared" ca="1" si="21"/>
        <v>782</v>
      </c>
      <c r="G333">
        <f t="shared" ca="1" si="22"/>
        <v>469.2</v>
      </c>
      <c r="H333">
        <f t="shared" ca="1" si="23"/>
        <v>312.8</v>
      </c>
      <c r="I333" t="str">
        <f t="shared" si="20"/>
        <v>Jan</v>
      </c>
      <c r="J333">
        <f>YEAR(SalesData[[#This Row],[Date]])</f>
        <v>2025</v>
      </c>
    </row>
    <row r="334" spans="1:10" x14ac:dyDescent="0.25">
      <c r="A334">
        <v>1334</v>
      </c>
      <c r="B334" s="1">
        <v>45683</v>
      </c>
      <c r="C334" t="s">
        <v>7</v>
      </c>
      <c r="D334" t="s">
        <v>13</v>
      </c>
      <c r="E334" t="s">
        <v>16</v>
      </c>
      <c r="F334">
        <f t="shared" ca="1" si="21"/>
        <v>1391</v>
      </c>
      <c r="G334">
        <f t="shared" ca="1" si="22"/>
        <v>834.6</v>
      </c>
      <c r="H334">
        <f t="shared" ca="1" si="23"/>
        <v>556.4</v>
      </c>
      <c r="I334" t="str">
        <f t="shared" si="20"/>
        <v>Jan</v>
      </c>
      <c r="J334">
        <f>YEAR(SalesData[[#This Row],[Date]])</f>
        <v>2025</v>
      </c>
    </row>
    <row r="335" spans="1:10" x14ac:dyDescent="0.25">
      <c r="A335">
        <v>1335</v>
      </c>
      <c r="B335" s="1">
        <v>45684</v>
      </c>
      <c r="C335" t="s">
        <v>9</v>
      </c>
      <c r="D335" t="s">
        <v>12</v>
      </c>
      <c r="E335" t="s">
        <v>17</v>
      </c>
      <c r="F335">
        <f t="shared" ca="1" si="21"/>
        <v>803</v>
      </c>
      <c r="G335">
        <f t="shared" ca="1" si="22"/>
        <v>513.91999999999996</v>
      </c>
      <c r="H335">
        <f t="shared" ca="1" si="23"/>
        <v>289.08000000000004</v>
      </c>
      <c r="I335" t="str">
        <f t="shared" si="20"/>
        <v>Jan</v>
      </c>
      <c r="J335">
        <f>YEAR(SalesData[[#This Row],[Date]])</f>
        <v>2025</v>
      </c>
    </row>
    <row r="336" spans="1:10" x14ac:dyDescent="0.25">
      <c r="A336">
        <v>1336</v>
      </c>
      <c r="B336" s="1">
        <v>45685</v>
      </c>
      <c r="C336" t="s">
        <v>10</v>
      </c>
      <c r="D336" t="s">
        <v>24</v>
      </c>
      <c r="E336" t="s">
        <v>18</v>
      </c>
      <c r="F336">
        <f t="shared" ca="1" si="21"/>
        <v>1130</v>
      </c>
      <c r="G336">
        <f t="shared" ca="1" si="22"/>
        <v>644.1</v>
      </c>
      <c r="H336">
        <f t="shared" ca="1" si="23"/>
        <v>485.9</v>
      </c>
      <c r="I336" t="str">
        <f t="shared" si="20"/>
        <v>Jan</v>
      </c>
      <c r="J336">
        <f>YEAR(SalesData[[#This Row],[Date]])</f>
        <v>2025</v>
      </c>
    </row>
    <row r="337" spans="1:10" x14ac:dyDescent="0.25">
      <c r="A337">
        <v>1337</v>
      </c>
      <c r="B337" s="1">
        <v>45686</v>
      </c>
      <c r="C337" t="s">
        <v>8</v>
      </c>
      <c r="D337" t="s">
        <v>12</v>
      </c>
      <c r="E337" t="s">
        <v>19</v>
      </c>
      <c r="F337">
        <f t="shared" ca="1" si="21"/>
        <v>1384</v>
      </c>
      <c r="G337">
        <f t="shared" ca="1" si="22"/>
        <v>1065.68</v>
      </c>
      <c r="H337">
        <f t="shared" ca="1" si="23"/>
        <v>318.31999999999994</v>
      </c>
      <c r="I337" t="str">
        <f t="shared" si="20"/>
        <v>Jan</v>
      </c>
      <c r="J337">
        <f>YEAR(SalesData[[#This Row],[Date]])</f>
        <v>2025</v>
      </c>
    </row>
    <row r="338" spans="1:10" x14ac:dyDescent="0.25">
      <c r="A338">
        <v>1338</v>
      </c>
      <c r="B338" s="1">
        <v>45687</v>
      </c>
      <c r="C338" t="s">
        <v>7</v>
      </c>
      <c r="D338" t="s">
        <v>24</v>
      </c>
      <c r="E338" t="s">
        <v>20</v>
      </c>
      <c r="F338">
        <f t="shared" ca="1" si="21"/>
        <v>1050</v>
      </c>
      <c r="G338">
        <f t="shared" ca="1" si="22"/>
        <v>661.5</v>
      </c>
      <c r="H338">
        <f t="shared" ca="1" si="23"/>
        <v>388.5</v>
      </c>
      <c r="I338" t="str">
        <f t="shared" si="20"/>
        <v>Jan</v>
      </c>
      <c r="J338">
        <f>YEAR(SalesData[[#This Row],[Date]])</f>
        <v>2025</v>
      </c>
    </row>
    <row r="339" spans="1:10" x14ac:dyDescent="0.25">
      <c r="A339">
        <v>1339</v>
      </c>
      <c r="B339" s="1">
        <v>45688</v>
      </c>
      <c r="C339" t="s">
        <v>9</v>
      </c>
      <c r="D339" t="s">
        <v>13</v>
      </c>
      <c r="E339" t="s">
        <v>21</v>
      </c>
      <c r="F339">
        <f t="shared" ca="1" si="21"/>
        <v>576</v>
      </c>
      <c r="G339">
        <f t="shared" ca="1" si="22"/>
        <v>414.72</v>
      </c>
      <c r="H339">
        <f t="shared" ca="1" si="23"/>
        <v>161.27999999999997</v>
      </c>
      <c r="I339" t="str">
        <f t="shared" si="20"/>
        <v>Jan</v>
      </c>
      <c r="J339">
        <f>YEAR(SalesData[[#This Row],[Date]])</f>
        <v>2025</v>
      </c>
    </row>
    <row r="340" spans="1:10" x14ac:dyDescent="0.25">
      <c r="A340">
        <v>1340</v>
      </c>
      <c r="B340" s="1">
        <v>45689</v>
      </c>
      <c r="C340" t="s">
        <v>10</v>
      </c>
      <c r="D340" t="s">
        <v>12</v>
      </c>
      <c r="E340" t="s">
        <v>22</v>
      </c>
      <c r="F340">
        <f t="shared" ca="1" si="21"/>
        <v>1818</v>
      </c>
      <c r="G340">
        <f t="shared" ca="1" si="22"/>
        <v>1363.5</v>
      </c>
      <c r="H340">
        <f t="shared" ca="1" si="23"/>
        <v>454.5</v>
      </c>
      <c r="I340" t="str">
        <f t="shared" si="20"/>
        <v>Feb</v>
      </c>
      <c r="J340">
        <f>YEAR(SalesData[[#This Row],[Date]])</f>
        <v>2025</v>
      </c>
    </row>
    <row r="341" spans="1:10" x14ac:dyDescent="0.25">
      <c r="A341">
        <v>1341</v>
      </c>
      <c r="B341" s="1">
        <v>45690</v>
      </c>
      <c r="C341" t="s">
        <v>8</v>
      </c>
      <c r="D341" t="s">
        <v>24</v>
      </c>
      <c r="E341" t="s">
        <v>23</v>
      </c>
      <c r="F341">
        <f t="shared" ca="1" si="21"/>
        <v>1244</v>
      </c>
      <c r="G341">
        <f t="shared" ca="1" si="22"/>
        <v>982.76</v>
      </c>
      <c r="H341">
        <f t="shared" ca="1" si="23"/>
        <v>261.24</v>
      </c>
      <c r="I341" t="str">
        <f t="shared" si="20"/>
        <v>Feb</v>
      </c>
      <c r="J341">
        <f>YEAR(SalesData[[#This Row],[Date]])</f>
        <v>2025</v>
      </c>
    </row>
    <row r="342" spans="1:10" x14ac:dyDescent="0.25">
      <c r="A342">
        <v>1342</v>
      </c>
      <c r="B342" s="1">
        <v>45691</v>
      </c>
      <c r="C342" t="s">
        <v>7</v>
      </c>
      <c r="D342" t="s">
        <v>12</v>
      </c>
      <c r="E342" t="s">
        <v>14</v>
      </c>
      <c r="F342">
        <f t="shared" ca="1" si="21"/>
        <v>1431</v>
      </c>
      <c r="G342">
        <f t="shared" ca="1" si="22"/>
        <v>915.84</v>
      </c>
      <c r="H342">
        <f t="shared" ca="1" si="23"/>
        <v>515.16</v>
      </c>
      <c r="I342" t="str">
        <f t="shared" si="20"/>
        <v>Feb</v>
      </c>
      <c r="J342">
        <f>YEAR(SalesData[[#This Row],[Date]])</f>
        <v>2025</v>
      </c>
    </row>
    <row r="343" spans="1:10" x14ac:dyDescent="0.25">
      <c r="A343">
        <v>1343</v>
      </c>
      <c r="B343" s="1">
        <v>45692</v>
      </c>
      <c r="C343" t="s">
        <v>9</v>
      </c>
      <c r="D343" t="s">
        <v>24</v>
      </c>
      <c r="E343" t="s">
        <v>15</v>
      </c>
      <c r="F343">
        <f t="shared" ca="1" si="21"/>
        <v>817</v>
      </c>
      <c r="G343">
        <f t="shared" ca="1" si="22"/>
        <v>514.71</v>
      </c>
      <c r="H343">
        <f t="shared" ca="1" si="23"/>
        <v>302.28999999999996</v>
      </c>
      <c r="I343" t="str">
        <f t="shared" si="20"/>
        <v>Feb</v>
      </c>
      <c r="J343">
        <f>YEAR(SalesData[[#This Row],[Date]])</f>
        <v>2025</v>
      </c>
    </row>
    <row r="344" spans="1:10" x14ac:dyDescent="0.25">
      <c r="A344">
        <v>1344</v>
      </c>
      <c r="B344" s="1">
        <v>45693</v>
      </c>
      <c r="C344" t="s">
        <v>10</v>
      </c>
      <c r="D344" t="s">
        <v>13</v>
      </c>
      <c r="E344" t="s">
        <v>16</v>
      </c>
      <c r="F344">
        <f t="shared" ca="1" si="21"/>
        <v>1194</v>
      </c>
      <c r="G344">
        <f t="shared" ca="1" si="22"/>
        <v>883.56</v>
      </c>
      <c r="H344">
        <f t="shared" ca="1" si="23"/>
        <v>310.44000000000005</v>
      </c>
      <c r="I344" t="str">
        <f t="shared" si="20"/>
        <v>Feb</v>
      </c>
      <c r="J344">
        <f>YEAR(SalesData[[#This Row],[Date]])</f>
        <v>2025</v>
      </c>
    </row>
    <row r="345" spans="1:10" x14ac:dyDescent="0.25">
      <c r="A345">
        <v>1345</v>
      </c>
      <c r="B345" s="1">
        <v>45694</v>
      </c>
      <c r="C345" t="s">
        <v>8</v>
      </c>
      <c r="D345" t="s">
        <v>12</v>
      </c>
      <c r="E345" t="s">
        <v>17</v>
      </c>
      <c r="F345">
        <f t="shared" ca="1" si="21"/>
        <v>1831</v>
      </c>
      <c r="G345">
        <f t="shared" ca="1" si="22"/>
        <v>1171.8399999999999</v>
      </c>
      <c r="H345">
        <f t="shared" ca="1" si="23"/>
        <v>659.16000000000008</v>
      </c>
      <c r="I345" t="str">
        <f t="shared" si="20"/>
        <v>Feb</v>
      </c>
      <c r="J345">
        <f>YEAR(SalesData[[#This Row],[Date]])</f>
        <v>2025</v>
      </c>
    </row>
    <row r="346" spans="1:10" x14ac:dyDescent="0.25">
      <c r="A346">
        <v>1346</v>
      </c>
      <c r="B346" s="1">
        <v>45695</v>
      </c>
      <c r="C346" t="s">
        <v>7</v>
      </c>
      <c r="D346" t="s">
        <v>24</v>
      </c>
      <c r="E346" t="s">
        <v>18</v>
      </c>
      <c r="F346">
        <f t="shared" ca="1" si="21"/>
        <v>1587</v>
      </c>
      <c r="G346">
        <f t="shared" ca="1" si="22"/>
        <v>1158.51</v>
      </c>
      <c r="H346">
        <f t="shared" ca="1" si="23"/>
        <v>428.49</v>
      </c>
      <c r="I346" t="str">
        <f t="shared" si="20"/>
        <v>Feb</v>
      </c>
      <c r="J346">
        <f>YEAR(SalesData[[#This Row],[Date]])</f>
        <v>2025</v>
      </c>
    </row>
    <row r="347" spans="1:10" x14ac:dyDescent="0.25">
      <c r="A347">
        <v>1347</v>
      </c>
      <c r="B347" s="1">
        <v>45696</v>
      </c>
      <c r="C347" t="s">
        <v>9</v>
      </c>
      <c r="D347" t="s">
        <v>12</v>
      </c>
      <c r="E347" t="s">
        <v>19</v>
      </c>
      <c r="F347">
        <f t="shared" ca="1" si="21"/>
        <v>1855</v>
      </c>
      <c r="G347">
        <f t="shared" ca="1" si="22"/>
        <v>1317.05</v>
      </c>
      <c r="H347">
        <f t="shared" ca="1" si="23"/>
        <v>537.95000000000005</v>
      </c>
      <c r="I347" t="str">
        <f t="shared" si="20"/>
        <v>Feb</v>
      </c>
      <c r="J347">
        <f>YEAR(SalesData[[#This Row],[Date]])</f>
        <v>2025</v>
      </c>
    </row>
    <row r="348" spans="1:10" x14ac:dyDescent="0.25">
      <c r="A348">
        <v>1348</v>
      </c>
      <c r="B348" s="1">
        <v>45697</v>
      </c>
      <c r="C348" t="s">
        <v>10</v>
      </c>
      <c r="D348" t="s">
        <v>24</v>
      </c>
      <c r="E348" t="s">
        <v>20</v>
      </c>
      <c r="F348">
        <f t="shared" ca="1" si="21"/>
        <v>1166</v>
      </c>
      <c r="G348">
        <f t="shared" ca="1" si="22"/>
        <v>816.2</v>
      </c>
      <c r="H348">
        <f t="shared" ca="1" si="23"/>
        <v>349.79999999999995</v>
      </c>
      <c r="I348" t="str">
        <f t="shared" si="20"/>
        <v>Feb</v>
      </c>
      <c r="J348">
        <f>YEAR(SalesData[[#This Row],[Date]])</f>
        <v>2025</v>
      </c>
    </row>
    <row r="349" spans="1:10" x14ac:dyDescent="0.25">
      <c r="A349">
        <v>1349</v>
      </c>
      <c r="B349" s="1">
        <v>45698</v>
      </c>
      <c r="C349" t="s">
        <v>8</v>
      </c>
      <c r="D349" t="s">
        <v>13</v>
      </c>
      <c r="E349" t="s">
        <v>21</v>
      </c>
      <c r="F349">
        <f t="shared" ca="1" si="21"/>
        <v>1608</v>
      </c>
      <c r="G349">
        <f t="shared" ca="1" si="22"/>
        <v>948.72</v>
      </c>
      <c r="H349">
        <f t="shared" ca="1" si="23"/>
        <v>659.28</v>
      </c>
      <c r="I349" t="str">
        <f t="shared" si="20"/>
        <v>Feb</v>
      </c>
      <c r="J349">
        <f>YEAR(SalesData[[#This Row],[Date]])</f>
        <v>2025</v>
      </c>
    </row>
    <row r="350" spans="1:10" x14ac:dyDescent="0.25">
      <c r="A350">
        <v>1350</v>
      </c>
      <c r="B350" s="1">
        <v>45699</v>
      </c>
      <c r="C350" t="s">
        <v>7</v>
      </c>
      <c r="D350" t="s">
        <v>12</v>
      </c>
      <c r="E350" t="s">
        <v>22</v>
      </c>
      <c r="F350">
        <f t="shared" ca="1" si="21"/>
        <v>1582</v>
      </c>
      <c r="G350">
        <f t="shared" ca="1" si="22"/>
        <v>822.64</v>
      </c>
      <c r="H350">
        <f t="shared" ca="1" si="23"/>
        <v>759.36</v>
      </c>
      <c r="I350" t="str">
        <f t="shared" si="20"/>
        <v>Feb</v>
      </c>
      <c r="J350">
        <f>YEAR(SalesData[[#This Row],[Date]])</f>
        <v>2025</v>
      </c>
    </row>
    <row r="351" spans="1:10" x14ac:dyDescent="0.25">
      <c r="A351">
        <v>1351</v>
      </c>
      <c r="B351" s="1">
        <v>45700</v>
      </c>
      <c r="C351" t="s">
        <v>9</v>
      </c>
      <c r="D351" t="s">
        <v>24</v>
      </c>
      <c r="E351" t="s">
        <v>23</v>
      </c>
      <c r="F351">
        <f t="shared" ca="1" si="21"/>
        <v>1369</v>
      </c>
      <c r="G351">
        <f t="shared" ca="1" si="22"/>
        <v>1095.2</v>
      </c>
      <c r="H351">
        <f t="shared" ca="1" si="23"/>
        <v>273.79999999999995</v>
      </c>
      <c r="I351" t="str">
        <f t="shared" si="20"/>
        <v>Feb</v>
      </c>
      <c r="J351">
        <f>YEAR(SalesData[[#This Row],[Date]])</f>
        <v>2025</v>
      </c>
    </row>
    <row r="352" spans="1:10" x14ac:dyDescent="0.25">
      <c r="A352">
        <v>1352</v>
      </c>
      <c r="B352" s="1">
        <v>45701</v>
      </c>
      <c r="C352" t="s">
        <v>10</v>
      </c>
      <c r="D352" t="s">
        <v>12</v>
      </c>
      <c r="E352" t="s">
        <v>14</v>
      </c>
      <c r="F352">
        <f t="shared" ca="1" si="21"/>
        <v>1031</v>
      </c>
      <c r="G352">
        <f t="shared" ca="1" si="22"/>
        <v>597.98</v>
      </c>
      <c r="H352">
        <f t="shared" ca="1" si="23"/>
        <v>433.02</v>
      </c>
      <c r="I352" t="str">
        <f t="shared" si="20"/>
        <v>Feb</v>
      </c>
      <c r="J352">
        <f>YEAR(SalesData[[#This Row],[Date]])</f>
        <v>2025</v>
      </c>
    </row>
    <row r="353" spans="1:10" x14ac:dyDescent="0.25">
      <c r="A353">
        <v>1353</v>
      </c>
      <c r="B353" s="1">
        <v>45702</v>
      </c>
      <c r="C353" t="s">
        <v>8</v>
      </c>
      <c r="D353" t="s">
        <v>24</v>
      </c>
      <c r="E353" t="s">
        <v>15</v>
      </c>
      <c r="F353">
        <f t="shared" ca="1" si="21"/>
        <v>1453</v>
      </c>
      <c r="G353">
        <f t="shared" ca="1" si="22"/>
        <v>1104.28</v>
      </c>
      <c r="H353">
        <f t="shared" ca="1" si="23"/>
        <v>348.72</v>
      </c>
      <c r="I353" t="str">
        <f t="shared" si="20"/>
        <v>Feb</v>
      </c>
      <c r="J353">
        <f>YEAR(SalesData[[#This Row],[Date]])</f>
        <v>2025</v>
      </c>
    </row>
    <row r="354" spans="1:10" x14ac:dyDescent="0.25">
      <c r="A354">
        <v>1354</v>
      </c>
      <c r="B354" s="1">
        <v>45703</v>
      </c>
      <c r="C354" t="s">
        <v>7</v>
      </c>
      <c r="D354" t="s">
        <v>13</v>
      </c>
      <c r="E354" t="s">
        <v>16</v>
      </c>
      <c r="F354">
        <f t="shared" ca="1" si="21"/>
        <v>1086</v>
      </c>
      <c r="G354">
        <f t="shared" ca="1" si="22"/>
        <v>619.02</v>
      </c>
      <c r="H354">
        <f t="shared" ca="1" si="23"/>
        <v>466.98</v>
      </c>
      <c r="I354" t="str">
        <f t="shared" si="20"/>
        <v>Feb</v>
      </c>
      <c r="J354">
        <f>YEAR(SalesData[[#This Row],[Date]])</f>
        <v>2025</v>
      </c>
    </row>
    <row r="355" spans="1:10" x14ac:dyDescent="0.25">
      <c r="A355">
        <v>1355</v>
      </c>
      <c r="B355" s="1">
        <v>45704</v>
      </c>
      <c r="C355" t="s">
        <v>9</v>
      </c>
      <c r="D355" t="s">
        <v>12</v>
      </c>
      <c r="E355" t="s">
        <v>17</v>
      </c>
      <c r="F355">
        <f t="shared" ca="1" si="21"/>
        <v>432</v>
      </c>
      <c r="G355">
        <f t="shared" ca="1" si="22"/>
        <v>328.32</v>
      </c>
      <c r="H355">
        <f t="shared" ca="1" si="23"/>
        <v>103.68</v>
      </c>
      <c r="I355" t="str">
        <f t="shared" si="20"/>
        <v>Feb</v>
      </c>
      <c r="J355">
        <f>YEAR(SalesData[[#This Row],[Date]])</f>
        <v>2025</v>
      </c>
    </row>
    <row r="356" spans="1:10" x14ac:dyDescent="0.25">
      <c r="A356">
        <v>1356</v>
      </c>
      <c r="B356" s="1">
        <v>45705</v>
      </c>
      <c r="C356" t="s">
        <v>10</v>
      </c>
      <c r="D356" t="s">
        <v>24</v>
      </c>
      <c r="E356" t="s">
        <v>18</v>
      </c>
      <c r="F356">
        <f t="shared" ca="1" si="21"/>
        <v>1596</v>
      </c>
      <c r="G356">
        <f t="shared" ca="1" si="22"/>
        <v>1101.24</v>
      </c>
      <c r="H356">
        <f t="shared" ca="1" si="23"/>
        <v>494.76</v>
      </c>
      <c r="I356" t="str">
        <f t="shared" si="20"/>
        <v>Feb</v>
      </c>
      <c r="J356">
        <f>YEAR(SalesData[[#This Row],[Date]])</f>
        <v>2025</v>
      </c>
    </row>
    <row r="357" spans="1:10" x14ac:dyDescent="0.25">
      <c r="A357">
        <v>1357</v>
      </c>
      <c r="B357" s="1">
        <v>45706</v>
      </c>
      <c r="C357" t="s">
        <v>8</v>
      </c>
      <c r="D357" t="s">
        <v>12</v>
      </c>
      <c r="E357" t="s">
        <v>19</v>
      </c>
      <c r="F357">
        <f t="shared" ca="1" si="21"/>
        <v>1096</v>
      </c>
      <c r="G357">
        <f t="shared" ca="1" si="22"/>
        <v>602.79999999999995</v>
      </c>
      <c r="H357">
        <f t="shared" ca="1" si="23"/>
        <v>493.20000000000005</v>
      </c>
      <c r="I357" t="str">
        <f t="shared" si="20"/>
        <v>Feb</v>
      </c>
      <c r="J357">
        <f>YEAR(SalesData[[#This Row],[Date]])</f>
        <v>2025</v>
      </c>
    </row>
    <row r="358" spans="1:10" x14ac:dyDescent="0.25">
      <c r="A358">
        <v>1358</v>
      </c>
      <c r="B358" s="1">
        <v>45707</v>
      </c>
      <c r="C358" t="s">
        <v>7</v>
      </c>
      <c r="D358" t="s">
        <v>24</v>
      </c>
      <c r="E358" t="s">
        <v>20</v>
      </c>
      <c r="F358">
        <f t="shared" ca="1" si="21"/>
        <v>1035</v>
      </c>
      <c r="G358">
        <f t="shared" ca="1" si="22"/>
        <v>817.65</v>
      </c>
      <c r="H358">
        <f t="shared" ca="1" si="23"/>
        <v>217.35000000000002</v>
      </c>
      <c r="I358" t="str">
        <f t="shared" si="20"/>
        <v>Feb</v>
      </c>
      <c r="J358">
        <f>YEAR(SalesData[[#This Row],[Date]])</f>
        <v>2025</v>
      </c>
    </row>
    <row r="359" spans="1:10" x14ac:dyDescent="0.25">
      <c r="A359">
        <v>1359</v>
      </c>
      <c r="B359" s="1">
        <v>45708</v>
      </c>
      <c r="C359" t="s">
        <v>9</v>
      </c>
      <c r="D359" t="s">
        <v>13</v>
      </c>
      <c r="E359" t="s">
        <v>21</v>
      </c>
      <c r="F359">
        <f t="shared" ca="1" si="21"/>
        <v>1129</v>
      </c>
      <c r="G359">
        <f t="shared" ca="1" si="22"/>
        <v>598.37</v>
      </c>
      <c r="H359">
        <f t="shared" ca="1" si="23"/>
        <v>530.63</v>
      </c>
      <c r="I359" t="str">
        <f t="shared" si="20"/>
        <v>Feb</v>
      </c>
      <c r="J359">
        <f>YEAR(SalesData[[#This Row],[Date]])</f>
        <v>2025</v>
      </c>
    </row>
    <row r="360" spans="1:10" x14ac:dyDescent="0.25">
      <c r="A360">
        <v>1360</v>
      </c>
      <c r="B360" s="1">
        <v>45709</v>
      </c>
      <c r="C360" t="s">
        <v>10</v>
      </c>
      <c r="D360" t="s">
        <v>12</v>
      </c>
      <c r="E360" t="s">
        <v>22</v>
      </c>
      <c r="F360">
        <f t="shared" ca="1" si="21"/>
        <v>1241</v>
      </c>
      <c r="G360">
        <f t="shared" ca="1" si="22"/>
        <v>905.93</v>
      </c>
      <c r="H360">
        <f t="shared" ca="1" si="23"/>
        <v>335.07000000000005</v>
      </c>
      <c r="I360" t="str">
        <f t="shared" si="20"/>
        <v>Feb</v>
      </c>
      <c r="J360">
        <f>YEAR(SalesData[[#This Row],[Date]])</f>
        <v>2025</v>
      </c>
    </row>
    <row r="361" spans="1:10" x14ac:dyDescent="0.25">
      <c r="A361">
        <v>1361</v>
      </c>
      <c r="B361" s="1">
        <v>45710</v>
      </c>
      <c r="C361" t="s">
        <v>8</v>
      </c>
      <c r="D361" t="s">
        <v>24</v>
      </c>
      <c r="E361" t="s">
        <v>23</v>
      </c>
      <c r="F361">
        <f t="shared" ca="1" si="21"/>
        <v>1595</v>
      </c>
      <c r="G361">
        <f t="shared" ca="1" si="22"/>
        <v>845.35</v>
      </c>
      <c r="H361">
        <f t="shared" ca="1" si="23"/>
        <v>749.65</v>
      </c>
      <c r="I361" t="str">
        <f t="shared" si="20"/>
        <v>Feb</v>
      </c>
      <c r="J361">
        <f>YEAR(SalesData[[#This Row],[Date]])</f>
        <v>2025</v>
      </c>
    </row>
    <row r="362" spans="1:10" x14ac:dyDescent="0.25">
      <c r="A362">
        <v>1362</v>
      </c>
      <c r="B362" s="1">
        <v>45711</v>
      </c>
      <c r="C362" t="s">
        <v>7</v>
      </c>
      <c r="D362" t="s">
        <v>12</v>
      </c>
      <c r="E362" t="s">
        <v>14</v>
      </c>
      <c r="F362">
        <f t="shared" ca="1" si="21"/>
        <v>1282</v>
      </c>
      <c r="G362">
        <f t="shared" ca="1" si="22"/>
        <v>782.02</v>
      </c>
      <c r="H362">
        <f t="shared" ca="1" si="23"/>
        <v>499.98</v>
      </c>
      <c r="I362" t="str">
        <f t="shared" si="20"/>
        <v>Feb</v>
      </c>
      <c r="J362">
        <f>YEAR(SalesData[[#This Row],[Date]])</f>
        <v>2025</v>
      </c>
    </row>
    <row r="363" spans="1:10" x14ac:dyDescent="0.25">
      <c r="A363">
        <v>1363</v>
      </c>
      <c r="B363" s="1">
        <v>45712</v>
      </c>
      <c r="C363" t="s">
        <v>9</v>
      </c>
      <c r="D363" t="s">
        <v>24</v>
      </c>
      <c r="E363" t="s">
        <v>15</v>
      </c>
      <c r="F363">
        <f t="shared" ca="1" si="21"/>
        <v>410</v>
      </c>
      <c r="G363">
        <f t="shared" ca="1" si="22"/>
        <v>282.89999999999998</v>
      </c>
      <c r="H363">
        <f t="shared" ca="1" si="23"/>
        <v>127.10000000000002</v>
      </c>
      <c r="I363" t="str">
        <f t="shared" si="20"/>
        <v>Feb</v>
      </c>
      <c r="J363">
        <f>YEAR(SalesData[[#This Row],[Date]])</f>
        <v>2025</v>
      </c>
    </row>
    <row r="364" spans="1:10" x14ac:dyDescent="0.25">
      <c r="A364">
        <v>1364</v>
      </c>
      <c r="B364" s="1">
        <v>45713</v>
      </c>
      <c r="C364" t="s">
        <v>10</v>
      </c>
      <c r="D364" t="s">
        <v>13</v>
      </c>
      <c r="E364" t="s">
        <v>16</v>
      </c>
      <c r="F364">
        <f t="shared" ca="1" si="21"/>
        <v>992</v>
      </c>
      <c r="G364">
        <f t="shared" ca="1" si="22"/>
        <v>595.20000000000005</v>
      </c>
      <c r="H364">
        <f t="shared" ca="1" si="23"/>
        <v>396.79999999999995</v>
      </c>
      <c r="I364" t="str">
        <f t="shared" si="20"/>
        <v>Feb</v>
      </c>
      <c r="J364">
        <f>YEAR(SalesData[[#This Row],[Date]])</f>
        <v>2025</v>
      </c>
    </row>
    <row r="365" spans="1:10" x14ac:dyDescent="0.25">
      <c r="A365">
        <v>1365</v>
      </c>
      <c r="B365" s="1">
        <v>45714</v>
      </c>
      <c r="C365" t="s">
        <v>8</v>
      </c>
      <c r="D365" t="s">
        <v>12</v>
      </c>
      <c r="E365" t="s">
        <v>17</v>
      </c>
      <c r="F365">
        <f t="shared" ca="1" si="21"/>
        <v>1343</v>
      </c>
      <c r="G365">
        <f t="shared" ca="1" si="22"/>
        <v>778.94</v>
      </c>
      <c r="H365">
        <f t="shared" ca="1" si="23"/>
        <v>564.05999999999995</v>
      </c>
      <c r="I365" t="str">
        <f t="shared" si="20"/>
        <v>Feb</v>
      </c>
      <c r="J365">
        <f>YEAR(SalesData[[#This Row],[Date]])</f>
        <v>2025</v>
      </c>
    </row>
    <row r="366" spans="1:10" x14ac:dyDescent="0.25">
      <c r="A366">
        <v>1366</v>
      </c>
      <c r="B366" s="1">
        <v>45715</v>
      </c>
      <c r="C366" t="s">
        <v>7</v>
      </c>
      <c r="D366" t="s">
        <v>24</v>
      </c>
      <c r="E366" t="s">
        <v>18</v>
      </c>
      <c r="F366">
        <f t="shared" ca="1" si="21"/>
        <v>364</v>
      </c>
      <c r="G366">
        <f t="shared" ca="1" si="22"/>
        <v>207.48</v>
      </c>
      <c r="H366">
        <f t="shared" ca="1" si="23"/>
        <v>156.52000000000001</v>
      </c>
      <c r="I366" t="str">
        <f t="shared" si="20"/>
        <v>Feb</v>
      </c>
      <c r="J366">
        <f>YEAR(SalesData[[#This Row],[Date]])</f>
        <v>2025</v>
      </c>
    </row>
    <row r="367" spans="1:10" x14ac:dyDescent="0.25">
      <c r="A367">
        <v>1367</v>
      </c>
      <c r="B367" s="1">
        <v>45716</v>
      </c>
      <c r="C367" t="s">
        <v>9</v>
      </c>
      <c r="D367" t="s">
        <v>12</v>
      </c>
      <c r="E367" t="s">
        <v>19</v>
      </c>
      <c r="F367">
        <f t="shared" ca="1" si="21"/>
        <v>859</v>
      </c>
      <c r="G367">
        <f t="shared" ca="1" si="22"/>
        <v>601.29999999999995</v>
      </c>
      <c r="H367">
        <f t="shared" ca="1" si="23"/>
        <v>257.70000000000005</v>
      </c>
      <c r="I367" t="str">
        <f t="shared" si="20"/>
        <v>Feb</v>
      </c>
      <c r="J367">
        <f>YEAR(SalesData[[#This Row],[Date]])</f>
        <v>2025</v>
      </c>
    </row>
    <row r="368" spans="1:10" x14ac:dyDescent="0.25">
      <c r="A368">
        <v>1368</v>
      </c>
      <c r="B368" s="1">
        <v>45717</v>
      </c>
      <c r="C368" t="s">
        <v>10</v>
      </c>
      <c r="D368" t="s">
        <v>24</v>
      </c>
      <c r="E368" t="s">
        <v>20</v>
      </c>
      <c r="F368">
        <f t="shared" ca="1" si="21"/>
        <v>705</v>
      </c>
      <c r="G368">
        <f t="shared" ca="1" si="22"/>
        <v>359.55</v>
      </c>
      <c r="H368">
        <f t="shared" ca="1" si="23"/>
        <v>345.45</v>
      </c>
      <c r="I368" t="str">
        <f t="shared" si="20"/>
        <v>Mar</v>
      </c>
      <c r="J368">
        <f>YEAR(SalesData[[#This Row],[Date]])</f>
        <v>2025</v>
      </c>
    </row>
    <row r="369" spans="1:10" x14ac:dyDescent="0.25">
      <c r="A369">
        <v>1369</v>
      </c>
      <c r="B369" s="1">
        <v>45718</v>
      </c>
      <c r="C369" t="s">
        <v>8</v>
      </c>
      <c r="D369" t="s">
        <v>13</v>
      </c>
      <c r="E369" t="s">
        <v>21</v>
      </c>
      <c r="F369">
        <f t="shared" ca="1" si="21"/>
        <v>1443</v>
      </c>
      <c r="G369">
        <f t="shared" ca="1" si="22"/>
        <v>1067.82</v>
      </c>
      <c r="H369">
        <f t="shared" ca="1" si="23"/>
        <v>375.18000000000006</v>
      </c>
      <c r="I369" t="str">
        <f t="shared" si="20"/>
        <v>Mar</v>
      </c>
      <c r="J369">
        <f>YEAR(SalesData[[#This Row],[Date]])</f>
        <v>2025</v>
      </c>
    </row>
    <row r="370" spans="1:10" x14ac:dyDescent="0.25">
      <c r="A370">
        <v>1370</v>
      </c>
      <c r="B370" s="1">
        <v>45719</v>
      </c>
      <c r="C370" t="s">
        <v>7</v>
      </c>
      <c r="D370" t="s">
        <v>12</v>
      </c>
      <c r="E370" t="s">
        <v>22</v>
      </c>
      <c r="F370">
        <f t="shared" ca="1" si="21"/>
        <v>1004</v>
      </c>
      <c r="G370">
        <f t="shared" ca="1" si="22"/>
        <v>562.24</v>
      </c>
      <c r="H370">
        <f t="shared" ca="1" si="23"/>
        <v>441.76</v>
      </c>
      <c r="I370" t="str">
        <f t="shared" si="20"/>
        <v>Mar</v>
      </c>
      <c r="J370">
        <f>YEAR(SalesData[[#This Row],[Date]])</f>
        <v>2025</v>
      </c>
    </row>
    <row r="371" spans="1:10" x14ac:dyDescent="0.25">
      <c r="A371">
        <v>1371</v>
      </c>
      <c r="B371" s="1">
        <v>45720</v>
      </c>
      <c r="C371" t="s">
        <v>9</v>
      </c>
      <c r="D371" t="s">
        <v>24</v>
      </c>
      <c r="E371" t="s">
        <v>23</v>
      </c>
      <c r="F371">
        <f t="shared" ca="1" si="21"/>
        <v>1927</v>
      </c>
      <c r="G371">
        <f t="shared" ca="1" si="22"/>
        <v>1368.17</v>
      </c>
      <c r="H371">
        <f t="shared" ca="1" si="23"/>
        <v>558.82999999999993</v>
      </c>
      <c r="I371" t="str">
        <f t="shared" si="20"/>
        <v>Mar</v>
      </c>
      <c r="J371">
        <f>YEAR(SalesData[[#This Row],[Date]])</f>
        <v>2025</v>
      </c>
    </row>
    <row r="372" spans="1:10" x14ac:dyDescent="0.25">
      <c r="A372">
        <v>1372</v>
      </c>
      <c r="B372" s="1">
        <v>45721</v>
      </c>
      <c r="C372" t="s">
        <v>10</v>
      </c>
      <c r="D372" t="s">
        <v>12</v>
      </c>
      <c r="E372" t="s">
        <v>14</v>
      </c>
      <c r="F372">
        <f t="shared" ca="1" si="21"/>
        <v>1923</v>
      </c>
      <c r="G372">
        <f t="shared" ca="1" si="22"/>
        <v>1288.4100000000001</v>
      </c>
      <c r="H372">
        <f t="shared" ca="1" si="23"/>
        <v>634.58999999999992</v>
      </c>
      <c r="I372" t="str">
        <f t="shared" si="20"/>
        <v>Mar</v>
      </c>
      <c r="J372">
        <f>YEAR(SalesData[[#This Row],[Date]])</f>
        <v>2025</v>
      </c>
    </row>
    <row r="373" spans="1:10" x14ac:dyDescent="0.25">
      <c r="A373">
        <v>1373</v>
      </c>
      <c r="B373" s="1">
        <v>45722</v>
      </c>
      <c r="C373" t="s">
        <v>8</v>
      </c>
      <c r="D373" t="s">
        <v>24</v>
      </c>
      <c r="E373" t="s">
        <v>15</v>
      </c>
      <c r="F373">
        <f t="shared" ca="1" si="21"/>
        <v>326</v>
      </c>
      <c r="G373">
        <f t="shared" ca="1" si="22"/>
        <v>198.86</v>
      </c>
      <c r="H373">
        <f t="shared" ca="1" si="23"/>
        <v>127.13999999999999</v>
      </c>
      <c r="I373" t="str">
        <f t="shared" si="20"/>
        <v>Mar</v>
      </c>
      <c r="J373">
        <f>YEAR(SalesData[[#This Row],[Date]])</f>
        <v>2025</v>
      </c>
    </row>
    <row r="374" spans="1:10" x14ac:dyDescent="0.25">
      <c r="A374">
        <v>1374</v>
      </c>
      <c r="B374" s="1">
        <v>45723</v>
      </c>
      <c r="C374" t="s">
        <v>7</v>
      </c>
      <c r="D374" t="s">
        <v>13</v>
      </c>
      <c r="E374" t="s">
        <v>16</v>
      </c>
      <c r="F374">
        <f t="shared" ca="1" si="21"/>
        <v>1318</v>
      </c>
      <c r="G374">
        <f t="shared" ca="1" si="22"/>
        <v>869.88</v>
      </c>
      <c r="H374">
        <f t="shared" ca="1" si="23"/>
        <v>448.12</v>
      </c>
      <c r="I374" t="str">
        <f t="shared" si="20"/>
        <v>Mar</v>
      </c>
      <c r="J374">
        <f>YEAR(SalesData[[#This Row],[Date]])</f>
        <v>2025</v>
      </c>
    </row>
    <row r="375" spans="1:10" x14ac:dyDescent="0.25">
      <c r="A375">
        <v>1375</v>
      </c>
      <c r="B375" s="1">
        <v>45724</v>
      </c>
      <c r="C375" t="s">
        <v>9</v>
      </c>
      <c r="D375" t="s">
        <v>12</v>
      </c>
      <c r="E375" t="s">
        <v>17</v>
      </c>
      <c r="F375">
        <f t="shared" ca="1" si="21"/>
        <v>1809</v>
      </c>
      <c r="G375">
        <f t="shared" ca="1" si="22"/>
        <v>958.77</v>
      </c>
      <c r="H375">
        <f t="shared" ca="1" si="23"/>
        <v>850.23</v>
      </c>
      <c r="I375" t="str">
        <f t="shared" si="20"/>
        <v>Mar</v>
      </c>
      <c r="J375">
        <f>YEAR(SalesData[[#This Row],[Date]])</f>
        <v>2025</v>
      </c>
    </row>
    <row r="376" spans="1:10" x14ac:dyDescent="0.25">
      <c r="A376">
        <v>1376</v>
      </c>
      <c r="B376" s="1">
        <v>45725</v>
      </c>
      <c r="C376" t="s">
        <v>10</v>
      </c>
      <c r="D376" t="s">
        <v>24</v>
      </c>
      <c r="E376" t="s">
        <v>18</v>
      </c>
      <c r="F376">
        <f t="shared" ca="1" si="21"/>
        <v>1023</v>
      </c>
      <c r="G376">
        <f t="shared" ca="1" si="22"/>
        <v>521.73</v>
      </c>
      <c r="H376">
        <f t="shared" ca="1" si="23"/>
        <v>501.27</v>
      </c>
      <c r="I376" t="str">
        <f t="shared" si="20"/>
        <v>Mar</v>
      </c>
      <c r="J376">
        <f>YEAR(SalesData[[#This Row],[Date]])</f>
        <v>2025</v>
      </c>
    </row>
    <row r="377" spans="1:10" x14ac:dyDescent="0.25">
      <c r="A377">
        <v>1377</v>
      </c>
      <c r="B377" s="1">
        <v>45726</v>
      </c>
      <c r="C377" t="s">
        <v>8</v>
      </c>
      <c r="D377" t="s">
        <v>12</v>
      </c>
      <c r="E377" t="s">
        <v>19</v>
      </c>
      <c r="F377">
        <f t="shared" ca="1" si="21"/>
        <v>1002</v>
      </c>
      <c r="G377">
        <f t="shared" ca="1" si="22"/>
        <v>791.58</v>
      </c>
      <c r="H377">
        <f t="shared" ca="1" si="23"/>
        <v>210.41999999999996</v>
      </c>
      <c r="I377" t="str">
        <f t="shared" si="20"/>
        <v>Mar</v>
      </c>
      <c r="J377">
        <f>YEAR(SalesData[[#This Row],[Date]])</f>
        <v>2025</v>
      </c>
    </row>
    <row r="378" spans="1:10" x14ac:dyDescent="0.25">
      <c r="A378">
        <v>1378</v>
      </c>
      <c r="B378" s="1">
        <v>45727</v>
      </c>
      <c r="C378" t="s">
        <v>7</v>
      </c>
      <c r="D378" t="s">
        <v>24</v>
      </c>
      <c r="E378" t="s">
        <v>20</v>
      </c>
      <c r="F378">
        <f t="shared" ca="1" si="21"/>
        <v>831</v>
      </c>
      <c r="G378">
        <f t="shared" ca="1" si="22"/>
        <v>515.22</v>
      </c>
      <c r="H378">
        <f t="shared" ca="1" si="23"/>
        <v>315.77999999999997</v>
      </c>
      <c r="I378" t="str">
        <f t="shared" si="20"/>
        <v>Mar</v>
      </c>
      <c r="J378">
        <f>YEAR(SalesData[[#This Row],[Date]])</f>
        <v>2025</v>
      </c>
    </row>
    <row r="379" spans="1:10" x14ac:dyDescent="0.25">
      <c r="A379">
        <v>1379</v>
      </c>
      <c r="B379" s="1">
        <v>45728</v>
      </c>
      <c r="C379" t="s">
        <v>9</v>
      </c>
      <c r="D379" t="s">
        <v>13</v>
      </c>
      <c r="E379" t="s">
        <v>21</v>
      </c>
      <c r="F379">
        <f t="shared" ca="1" si="21"/>
        <v>1385</v>
      </c>
      <c r="G379">
        <f t="shared" ca="1" si="22"/>
        <v>803.3</v>
      </c>
      <c r="H379">
        <f t="shared" ca="1" si="23"/>
        <v>581.70000000000005</v>
      </c>
      <c r="I379" t="str">
        <f t="shared" si="20"/>
        <v>Mar</v>
      </c>
      <c r="J379">
        <f>YEAR(SalesData[[#This Row],[Date]])</f>
        <v>2025</v>
      </c>
    </row>
    <row r="380" spans="1:10" x14ac:dyDescent="0.25">
      <c r="A380">
        <v>1380</v>
      </c>
      <c r="B380" s="1">
        <v>45729</v>
      </c>
      <c r="C380" t="s">
        <v>10</v>
      </c>
      <c r="D380" t="s">
        <v>12</v>
      </c>
      <c r="E380" t="s">
        <v>22</v>
      </c>
      <c r="F380">
        <f t="shared" ca="1" si="21"/>
        <v>1520</v>
      </c>
      <c r="G380">
        <f t="shared" ca="1" si="22"/>
        <v>775.2</v>
      </c>
      <c r="H380">
        <f t="shared" ca="1" si="23"/>
        <v>744.8</v>
      </c>
      <c r="I380" t="str">
        <f t="shared" si="20"/>
        <v>Mar</v>
      </c>
      <c r="J380">
        <f>YEAR(SalesData[[#This Row],[Date]])</f>
        <v>2025</v>
      </c>
    </row>
    <row r="381" spans="1:10" x14ac:dyDescent="0.25">
      <c r="A381">
        <v>1381</v>
      </c>
      <c r="B381" s="1">
        <v>45730</v>
      </c>
      <c r="C381" t="s">
        <v>8</v>
      </c>
      <c r="D381" t="s">
        <v>24</v>
      </c>
      <c r="E381" t="s">
        <v>23</v>
      </c>
      <c r="F381">
        <f t="shared" ca="1" si="21"/>
        <v>1149</v>
      </c>
      <c r="G381">
        <f t="shared" ca="1" si="22"/>
        <v>804.3</v>
      </c>
      <c r="H381">
        <f t="shared" ca="1" si="23"/>
        <v>344.70000000000005</v>
      </c>
      <c r="I381" t="str">
        <f t="shared" si="20"/>
        <v>Mar</v>
      </c>
      <c r="J381">
        <f>YEAR(SalesData[[#This Row],[Date]])</f>
        <v>2025</v>
      </c>
    </row>
    <row r="382" spans="1:10" x14ac:dyDescent="0.25">
      <c r="A382">
        <v>1382</v>
      </c>
      <c r="B382" s="1">
        <v>45731</v>
      </c>
      <c r="C382" t="s">
        <v>7</v>
      </c>
      <c r="D382" t="s">
        <v>12</v>
      </c>
      <c r="E382" t="s">
        <v>14</v>
      </c>
      <c r="F382">
        <f t="shared" ca="1" si="21"/>
        <v>1336</v>
      </c>
      <c r="G382">
        <f t="shared" ca="1" si="22"/>
        <v>895.12</v>
      </c>
      <c r="H382">
        <f t="shared" ca="1" si="23"/>
        <v>440.88</v>
      </c>
      <c r="I382" t="str">
        <f t="shared" si="20"/>
        <v>Mar</v>
      </c>
      <c r="J382">
        <f>YEAR(SalesData[[#This Row],[Date]])</f>
        <v>2025</v>
      </c>
    </row>
    <row r="383" spans="1:10" x14ac:dyDescent="0.25">
      <c r="A383">
        <v>1383</v>
      </c>
      <c r="B383" s="1">
        <v>45732</v>
      </c>
      <c r="C383" t="s">
        <v>9</v>
      </c>
      <c r="D383" t="s">
        <v>24</v>
      </c>
      <c r="E383" t="s">
        <v>15</v>
      </c>
      <c r="F383">
        <f t="shared" ca="1" si="21"/>
        <v>960</v>
      </c>
      <c r="G383">
        <f t="shared" ca="1" si="22"/>
        <v>672</v>
      </c>
      <c r="H383">
        <f t="shared" ca="1" si="23"/>
        <v>288</v>
      </c>
      <c r="I383" t="str">
        <f t="shared" si="20"/>
        <v>Mar</v>
      </c>
      <c r="J383">
        <f>YEAR(SalesData[[#This Row],[Date]])</f>
        <v>2025</v>
      </c>
    </row>
    <row r="384" spans="1:10" x14ac:dyDescent="0.25">
      <c r="A384">
        <v>1384</v>
      </c>
      <c r="B384" s="1">
        <v>45733</v>
      </c>
      <c r="C384" t="s">
        <v>10</v>
      </c>
      <c r="D384" t="s">
        <v>13</v>
      </c>
      <c r="E384" t="s">
        <v>16</v>
      </c>
      <c r="F384">
        <f t="shared" ca="1" si="21"/>
        <v>1785</v>
      </c>
      <c r="G384">
        <f t="shared" ca="1" si="22"/>
        <v>999.6</v>
      </c>
      <c r="H384">
        <f t="shared" ca="1" si="23"/>
        <v>785.4</v>
      </c>
      <c r="I384" t="str">
        <f t="shared" si="20"/>
        <v>Mar</v>
      </c>
      <c r="J384">
        <f>YEAR(SalesData[[#This Row],[Date]])</f>
        <v>2025</v>
      </c>
    </row>
    <row r="385" spans="1:10" x14ac:dyDescent="0.25">
      <c r="A385">
        <v>1385</v>
      </c>
      <c r="B385" s="1">
        <v>45734</v>
      </c>
      <c r="C385" t="s">
        <v>8</v>
      </c>
      <c r="D385" t="s">
        <v>12</v>
      </c>
      <c r="E385" t="s">
        <v>17</v>
      </c>
      <c r="F385">
        <f t="shared" ca="1" si="21"/>
        <v>1639</v>
      </c>
      <c r="G385">
        <f t="shared" ca="1" si="22"/>
        <v>885.06</v>
      </c>
      <c r="H385">
        <f t="shared" ca="1" si="23"/>
        <v>753.94</v>
      </c>
      <c r="I385" t="str">
        <f t="shared" si="20"/>
        <v>Mar</v>
      </c>
      <c r="J385">
        <f>YEAR(SalesData[[#This Row],[Date]])</f>
        <v>2025</v>
      </c>
    </row>
    <row r="386" spans="1:10" x14ac:dyDescent="0.25">
      <c r="A386">
        <v>1386</v>
      </c>
      <c r="B386" s="1">
        <v>45735</v>
      </c>
      <c r="C386" t="s">
        <v>7</v>
      </c>
      <c r="D386" t="s">
        <v>24</v>
      </c>
      <c r="E386" t="s">
        <v>18</v>
      </c>
      <c r="F386">
        <f t="shared" ca="1" si="21"/>
        <v>1741</v>
      </c>
      <c r="G386">
        <f t="shared" ca="1" si="22"/>
        <v>1236.1099999999999</v>
      </c>
      <c r="H386">
        <f t="shared" ca="1" si="23"/>
        <v>504.8900000000001</v>
      </c>
      <c r="I386" t="str">
        <f t="shared" ref="I386:I449" si="24">TEXT(B386,"mmm")</f>
        <v>Mar</v>
      </c>
      <c r="J386">
        <f>YEAR(SalesData[[#This Row],[Date]])</f>
        <v>2025</v>
      </c>
    </row>
    <row r="387" spans="1:10" x14ac:dyDescent="0.25">
      <c r="A387">
        <v>1387</v>
      </c>
      <c r="B387" s="1">
        <v>45736</v>
      </c>
      <c r="C387" t="s">
        <v>9</v>
      </c>
      <c r="D387" t="s">
        <v>12</v>
      </c>
      <c r="E387" t="s">
        <v>19</v>
      </c>
      <c r="F387">
        <f t="shared" ref="F387:F450" ca="1" si="25">RANDBETWEEN(300,2000)</f>
        <v>1891</v>
      </c>
      <c r="G387">
        <f t="shared" ref="G387:G450" ca="1" si="26">F387*RANDBETWEEN(50,80)/100</f>
        <v>1266.97</v>
      </c>
      <c r="H387">
        <f t="shared" ref="H387:H450" ca="1" si="27">F387-G387</f>
        <v>624.03</v>
      </c>
      <c r="I387" t="str">
        <f t="shared" si="24"/>
        <v>Mar</v>
      </c>
      <c r="J387">
        <f>YEAR(SalesData[[#This Row],[Date]])</f>
        <v>2025</v>
      </c>
    </row>
    <row r="388" spans="1:10" x14ac:dyDescent="0.25">
      <c r="A388">
        <v>1388</v>
      </c>
      <c r="B388" s="1">
        <v>45737</v>
      </c>
      <c r="C388" t="s">
        <v>10</v>
      </c>
      <c r="D388" t="s">
        <v>24</v>
      </c>
      <c r="E388" t="s">
        <v>20</v>
      </c>
      <c r="F388">
        <f t="shared" ca="1" si="25"/>
        <v>1858</v>
      </c>
      <c r="G388">
        <f t="shared" ca="1" si="26"/>
        <v>1114.8</v>
      </c>
      <c r="H388">
        <f t="shared" ca="1" si="27"/>
        <v>743.2</v>
      </c>
      <c r="I388" t="str">
        <f t="shared" si="24"/>
        <v>Mar</v>
      </c>
      <c r="J388">
        <f>YEAR(SalesData[[#This Row],[Date]])</f>
        <v>2025</v>
      </c>
    </row>
    <row r="389" spans="1:10" x14ac:dyDescent="0.25">
      <c r="A389">
        <v>1389</v>
      </c>
      <c r="B389" s="1">
        <v>45738</v>
      </c>
      <c r="C389" t="s">
        <v>8</v>
      </c>
      <c r="D389" t="s">
        <v>13</v>
      </c>
      <c r="E389" t="s">
        <v>21</v>
      </c>
      <c r="F389">
        <f t="shared" ca="1" si="25"/>
        <v>1986</v>
      </c>
      <c r="G389">
        <f t="shared" ca="1" si="26"/>
        <v>1310.76</v>
      </c>
      <c r="H389">
        <f t="shared" ca="1" si="27"/>
        <v>675.24</v>
      </c>
      <c r="I389" t="str">
        <f t="shared" si="24"/>
        <v>Mar</v>
      </c>
      <c r="J389">
        <f>YEAR(SalesData[[#This Row],[Date]])</f>
        <v>2025</v>
      </c>
    </row>
    <row r="390" spans="1:10" x14ac:dyDescent="0.25">
      <c r="A390">
        <v>1390</v>
      </c>
      <c r="B390" s="1">
        <v>45739</v>
      </c>
      <c r="C390" t="s">
        <v>7</v>
      </c>
      <c r="D390" t="s">
        <v>12</v>
      </c>
      <c r="E390" t="s">
        <v>22</v>
      </c>
      <c r="F390">
        <f t="shared" ca="1" si="25"/>
        <v>1058</v>
      </c>
      <c r="G390">
        <f t="shared" ca="1" si="26"/>
        <v>814.66</v>
      </c>
      <c r="H390">
        <f t="shared" ca="1" si="27"/>
        <v>243.34000000000003</v>
      </c>
      <c r="I390" t="str">
        <f t="shared" si="24"/>
        <v>Mar</v>
      </c>
      <c r="J390">
        <f>YEAR(SalesData[[#This Row],[Date]])</f>
        <v>2025</v>
      </c>
    </row>
    <row r="391" spans="1:10" x14ac:dyDescent="0.25">
      <c r="A391">
        <v>1391</v>
      </c>
      <c r="B391" s="1">
        <v>45740</v>
      </c>
      <c r="C391" t="s">
        <v>9</v>
      </c>
      <c r="D391" t="s">
        <v>24</v>
      </c>
      <c r="E391" t="s">
        <v>23</v>
      </c>
      <c r="F391">
        <f t="shared" ca="1" si="25"/>
        <v>800</v>
      </c>
      <c r="G391">
        <f t="shared" ca="1" si="26"/>
        <v>416</v>
      </c>
      <c r="H391">
        <f t="shared" ca="1" si="27"/>
        <v>384</v>
      </c>
      <c r="I391" t="str">
        <f t="shared" si="24"/>
        <v>Mar</v>
      </c>
      <c r="J391">
        <f>YEAR(SalesData[[#This Row],[Date]])</f>
        <v>2025</v>
      </c>
    </row>
    <row r="392" spans="1:10" x14ac:dyDescent="0.25">
      <c r="A392">
        <v>1392</v>
      </c>
      <c r="B392" s="1">
        <v>45741</v>
      </c>
      <c r="C392" t="s">
        <v>10</v>
      </c>
      <c r="D392" t="s">
        <v>12</v>
      </c>
      <c r="E392" t="s">
        <v>14</v>
      </c>
      <c r="F392">
        <f t="shared" ca="1" si="25"/>
        <v>1990</v>
      </c>
      <c r="G392">
        <f t="shared" ca="1" si="26"/>
        <v>1014.9</v>
      </c>
      <c r="H392">
        <f t="shared" ca="1" si="27"/>
        <v>975.1</v>
      </c>
      <c r="I392" t="str">
        <f t="shared" si="24"/>
        <v>Mar</v>
      </c>
      <c r="J392">
        <f>YEAR(SalesData[[#This Row],[Date]])</f>
        <v>2025</v>
      </c>
    </row>
    <row r="393" spans="1:10" x14ac:dyDescent="0.25">
      <c r="A393">
        <v>1393</v>
      </c>
      <c r="B393" s="1">
        <v>45742</v>
      </c>
      <c r="C393" t="s">
        <v>8</v>
      </c>
      <c r="D393" t="s">
        <v>24</v>
      </c>
      <c r="E393" t="s">
        <v>15</v>
      </c>
      <c r="F393">
        <f t="shared" ca="1" si="25"/>
        <v>1968</v>
      </c>
      <c r="G393">
        <f t="shared" ca="1" si="26"/>
        <v>1416.96</v>
      </c>
      <c r="H393">
        <f t="shared" ca="1" si="27"/>
        <v>551.04</v>
      </c>
      <c r="I393" t="str">
        <f t="shared" si="24"/>
        <v>Mar</v>
      </c>
      <c r="J393">
        <f>YEAR(SalesData[[#This Row],[Date]])</f>
        <v>2025</v>
      </c>
    </row>
    <row r="394" spans="1:10" x14ac:dyDescent="0.25">
      <c r="A394">
        <v>1394</v>
      </c>
      <c r="B394" s="1">
        <v>45743</v>
      </c>
      <c r="C394" t="s">
        <v>7</v>
      </c>
      <c r="D394" t="s">
        <v>13</v>
      </c>
      <c r="E394" t="s">
        <v>16</v>
      </c>
      <c r="F394">
        <f t="shared" ca="1" si="25"/>
        <v>1394</v>
      </c>
      <c r="G394">
        <f t="shared" ca="1" si="26"/>
        <v>1087.32</v>
      </c>
      <c r="H394">
        <f t="shared" ca="1" si="27"/>
        <v>306.68000000000006</v>
      </c>
      <c r="I394" t="str">
        <f t="shared" si="24"/>
        <v>Mar</v>
      </c>
      <c r="J394">
        <f>YEAR(SalesData[[#This Row],[Date]])</f>
        <v>2025</v>
      </c>
    </row>
    <row r="395" spans="1:10" x14ac:dyDescent="0.25">
      <c r="A395">
        <v>1395</v>
      </c>
      <c r="B395" s="1">
        <v>45744</v>
      </c>
      <c r="C395" t="s">
        <v>9</v>
      </c>
      <c r="D395" t="s">
        <v>12</v>
      </c>
      <c r="E395" t="s">
        <v>17</v>
      </c>
      <c r="F395">
        <f t="shared" ca="1" si="25"/>
        <v>853</v>
      </c>
      <c r="G395">
        <f t="shared" ca="1" si="26"/>
        <v>682.4</v>
      </c>
      <c r="H395">
        <f t="shared" ca="1" si="27"/>
        <v>170.60000000000002</v>
      </c>
      <c r="I395" t="str">
        <f t="shared" si="24"/>
        <v>Mar</v>
      </c>
      <c r="J395">
        <f>YEAR(SalesData[[#This Row],[Date]])</f>
        <v>2025</v>
      </c>
    </row>
    <row r="396" spans="1:10" x14ac:dyDescent="0.25">
      <c r="A396">
        <v>1396</v>
      </c>
      <c r="B396" s="1">
        <v>45745</v>
      </c>
      <c r="C396" t="s">
        <v>10</v>
      </c>
      <c r="D396" t="s">
        <v>24</v>
      </c>
      <c r="E396" t="s">
        <v>18</v>
      </c>
      <c r="F396">
        <f t="shared" ca="1" si="25"/>
        <v>1282</v>
      </c>
      <c r="G396">
        <f t="shared" ca="1" si="26"/>
        <v>769.2</v>
      </c>
      <c r="H396">
        <f t="shared" ca="1" si="27"/>
        <v>512.79999999999995</v>
      </c>
      <c r="I396" t="str">
        <f t="shared" si="24"/>
        <v>Mar</v>
      </c>
      <c r="J396">
        <f>YEAR(SalesData[[#This Row],[Date]])</f>
        <v>2025</v>
      </c>
    </row>
    <row r="397" spans="1:10" x14ac:dyDescent="0.25">
      <c r="A397">
        <v>1397</v>
      </c>
      <c r="B397" s="1">
        <v>45746</v>
      </c>
      <c r="C397" t="s">
        <v>8</v>
      </c>
      <c r="D397" t="s">
        <v>12</v>
      </c>
      <c r="E397" t="s">
        <v>19</v>
      </c>
      <c r="F397">
        <f t="shared" ca="1" si="25"/>
        <v>1968</v>
      </c>
      <c r="G397">
        <f t="shared" ca="1" si="26"/>
        <v>1338.24</v>
      </c>
      <c r="H397">
        <f t="shared" ca="1" si="27"/>
        <v>629.76</v>
      </c>
      <c r="I397" t="str">
        <f t="shared" si="24"/>
        <v>Mar</v>
      </c>
      <c r="J397">
        <f>YEAR(SalesData[[#This Row],[Date]])</f>
        <v>2025</v>
      </c>
    </row>
    <row r="398" spans="1:10" x14ac:dyDescent="0.25">
      <c r="A398">
        <v>1398</v>
      </c>
      <c r="B398" s="1">
        <v>45747</v>
      </c>
      <c r="C398" t="s">
        <v>7</v>
      </c>
      <c r="D398" t="s">
        <v>24</v>
      </c>
      <c r="E398" t="s">
        <v>20</v>
      </c>
      <c r="F398">
        <f t="shared" ca="1" si="25"/>
        <v>1340</v>
      </c>
      <c r="G398">
        <f t="shared" ca="1" si="26"/>
        <v>938</v>
      </c>
      <c r="H398">
        <f t="shared" ca="1" si="27"/>
        <v>402</v>
      </c>
      <c r="I398" t="str">
        <f t="shared" si="24"/>
        <v>Mar</v>
      </c>
      <c r="J398">
        <f>YEAR(SalesData[[#This Row],[Date]])</f>
        <v>2025</v>
      </c>
    </row>
    <row r="399" spans="1:10" x14ac:dyDescent="0.25">
      <c r="A399">
        <v>1399</v>
      </c>
      <c r="B399" s="1">
        <v>45748</v>
      </c>
      <c r="C399" t="s">
        <v>9</v>
      </c>
      <c r="D399" t="s">
        <v>13</v>
      </c>
      <c r="E399" t="s">
        <v>21</v>
      </c>
      <c r="F399">
        <f t="shared" ca="1" si="25"/>
        <v>1425</v>
      </c>
      <c r="G399">
        <f t="shared" ca="1" si="26"/>
        <v>726.75</v>
      </c>
      <c r="H399">
        <f t="shared" ca="1" si="27"/>
        <v>698.25</v>
      </c>
      <c r="I399" t="str">
        <f t="shared" si="24"/>
        <v>Apr</v>
      </c>
      <c r="J399">
        <f>YEAR(SalesData[[#This Row],[Date]])</f>
        <v>2025</v>
      </c>
    </row>
    <row r="400" spans="1:10" x14ac:dyDescent="0.25">
      <c r="A400">
        <v>1400</v>
      </c>
      <c r="B400" s="1">
        <v>45749</v>
      </c>
      <c r="C400" t="s">
        <v>10</v>
      </c>
      <c r="D400" t="s">
        <v>12</v>
      </c>
      <c r="E400" t="s">
        <v>22</v>
      </c>
      <c r="F400">
        <f t="shared" ca="1" si="25"/>
        <v>1857</v>
      </c>
      <c r="G400">
        <f t="shared" ca="1" si="26"/>
        <v>1485.6</v>
      </c>
      <c r="H400">
        <f t="shared" ca="1" si="27"/>
        <v>371.40000000000009</v>
      </c>
      <c r="I400" t="str">
        <f t="shared" si="24"/>
        <v>Apr</v>
      </c>
      <c r="J400">
        <f>YEAR(SalesData[[#This Row],[Date]])</f>
        <v>2025</v>
      </c>
    </row>
    <row r="401" spans="1:10" x14ac:dyDescent="0.25">
      <c r="A401">
        <v>1401</v>
      </c>
      <c r="B401" s="1">
        <v>45750</v>
      </c>
      <c r="C401" t="s">
        <v>8</v>
      </c>
      <c r="D401" t="s">
        <v>24</v>
      </c>
      <c r="E401" t="s">
        <v>23</v>
      </c>
      <c r="F401">
        <f t="shared" ca="1" si="25"/>
        <v>1791</v>
      </c>
      <c r="G401">
        <f t="shared" ca="1" si="26"/>
        <v>1038.78</v>
      </c>
      <c r="H401">
        <f t="shared" ca="1" si="27"/>
        <v>752.22</v>
      </c>
      <c r="I401" t="str">
        <f t="shared" si="24"/>
        <v>Apr</v>
      </c>
      <c r="J401">
        <f>YEAR(SalesData[[#This Row],[Date]])</f>
        <v>2025</v>
      </c>
    </row>
    <row r="402" spans="1:10" x14ac:dyDescent="0.25">
      <c r="A402">
        <v>1402</v>
      </c>
      <c r="B402" s="1">
        <v>45751</v>
      </c>
      <c r="C402" t="s">
        <v>7</v>
      </c>
      <c r="D402" t="s">
        <v>12</v>
      </c>
      <c r="E402" t="s">
        <v>14</v>
      </c>
      <c r="F402">
        <f t="shared" ca="1" si="25"/>
        <v>1352</v>
      </c>
      <c r="G402">
        <f t="shared" ca="1" si="26"/>
        <v>865.28</v>
      </c>
      <c r="H402">
        <f t="shared" ca="1" si="27"/>
        <v>486.72</v>
      </c>
      <c r="I402" t="str">
        <f t="shared" si="24"/>
        <v>Apr</v>
      </c>
      <c r="J402">
        <f>YEAR(SalesData[[#This Row],[Date]])</f>
        <v>2025</v>
      </c>
    </row>
    <row r="403" spans="1:10" x14ac:dyDescent="0.25">
      <c r="A403">
        <v>1403</v>
      </c>
      <c r="B403" s="1">
        <v>45752</v>
      </c>
      <c r="C403" t="s">
        <v>9</v>
      </c>
      <c r="D403" t="s">
        <v>24</v>
      </c>
      <c r="E403" t="s">
        <v>15</v>
      </c>
      <c r="F403">
        <f t="shared" ca="1" si="25"/>
        <v>385</v>
      </c>
      <c r="G403">
        <f t="shared" ca="1" si="26"/>
        <v>288.75</v>
      </c>
      <c r="H403">
        <f t="shared" ca="1" si="27"/>
        <v>96.25</v>
      </c>
      <c r="I403" t="str">
        <f t="shared" si="24"/>
        <v>Apr</v>
      </c>
      <c r="J403">
        <f>YEAR(SalesData[[#This Row],[Date]])</f>
        <v>2025</v>
      </c>
    </row>
    <row r="404" spans="1:10" x14ac:dyDescent="0.25">
      <c r="A404">
        <v>1404</v>
      </c>
      <c r="B404" s="1">
        <v>45753</v>
      </c>
      <c r="C404" t="s">
        <v>10</v>
      </c>
      <c r="D404" t="s">
        <v>13</v>
      </c>
      <c r="E404" t="s">
        <v>16</v>
      </c>
      <c r="F404">
        <f t="shared" ca="1" si="25"/>
        <v>642</v>
      </c>
      <c r="G404">
        <f t="shared" ca="1" si="26"/>
        <v>475.08</v>
      </c>
      <c r="H404">
        <f t="shared" ca="1" si="27"/>
        <v>166.92000000000002</v>
      </c>
      <c r="I404" t="str">
        <f t="shared" si="24"/>
        <v>Apr</v>
      </c>
      <c r="J404">
        <f>YEAR(SalesData[[#This Row],[Date]])</f>
        <v>2025</v>
      </c>
    </row>
    <row r="405" spans="1:10" x14ac:dyDescent="0.25">
      <c r="A405">
        <v>1405</v>
      </c>
      <c r="B405" s="1">
        <v>45754</v>
      </c>
      <c r="C405" t="s">
        <v>8</v>
      </c>
      <c r="D405" t="s">
        <v>12</v>
      </c>
      <c r="E405" t="s">
        <v>17</v>
      </c>
      <c r="F405">
        <f t="shared" ca="1" si="25"/>
        <v>1710</v>
      </c>
      <c r="G405">
        <f t="shared" ca="1" si="26"/>
        <v>1265.4000000000001</v>
      </c>
      <c r="H405">
        <f t="shared" ca="1" si="27"/>
        <v>444.59999999999991</v>
      </c>
      <c r="I405" t="str">
        <f t="shared" si="24"/>
        <v>Apr</v>
      </c>
      <c r="J405">
        <f>YEAR(SalesData[[#This Row],[Date]])</f>
        <v>2025</v>
      </c>
    </row>
    <row r="406" spans="1:10" x14ac:dyDescent="0.25">
      <c r="A406">
        <v>1406</v>
      </c>
      <c r="B406" s="1">
        <v>45755</v>
      </c>
      <c r="C406" t="s">
        <v>7</v>
      </c>
      <c r="D406" t="s">
        <v>24</v>
      </c>
      <c r="E406" t="s">
        <v>18</v>
      </c>
      <c r="F406">
        <f t="shared" ca="1" si="25"/>
        <v>329</v>
      </c>
      <c r="G406">
        <f t="shared" ca="1" si="26"/>
        <v>227.01</v>
      </c>
      <c r="H406">
        <f t="shared" ca="1" si="27"/>
        <v>101.99000000000001</v>
      </c>
      <c r="I406" t="str">
        <f t="shared" si="24"/>
        <v>Apr</v>
      </c>
      <c r="J406">
        <f>YEAR(SalesData[[#This Row],[Date]])</f>
        <v>2025</v>
      </c>
    </row>
    <row r="407" spans="1:10" x14ac:dyDescent="0.25">
      <c r="A407">
        <v>1407</v>
      </c>
      <c r="B407" s="1">
        <v>45756</v>
      </c>
      <c r="C407" t="s">
        <v>9</v>
      </c>
      <c r="D407" t="s">
        <v>12</v>
      </c>
      <c r="E407" t="s">
        <v>19</v>
      </c>
      <c r="F407">
        <f t="shared" ca="1" si="25"/>
        <v>511</v>
      </c>
      <c r="G407">
        <f t="shared" ca="1" si="26"/>
        <v>373.03</v>
      </c>
      <c r="H407">
        <f t="shared" ca="1" si="27"/>
        <v>137.97000000000003</v>
      </c>
      <c r="I407" t="str">
        <f t="shared" si="24"/>
        <v>Apr</v>
      </c>
      <c r="J407">
        <f>YEAR(SalesData[[#This Row],[Date]])</f>
        <v>2025</v>
      </c>
    </row>
    <row r="408" spans="1:10" x14ac:dyDescent="0.25">
      <c r="A408">
        <v>1408</v>
      </c>
      <c r="B408" s="1">
        <v>45757</v>
      </c>
      <c r="C408" t="s">
        <v>10</v>
      </c>
      <c r="D408" t="s">
        <v>24</v>
      </c>
      <c r="E408" t="s">
        <v>20</v>
      </c>
      <c r="F408">
        <f t="shared" ca="1" si="25"/>
        <v>1779</v>
      </c>
      <c r="G408">
        <f t="shared" ca="1" si="26"/>
        <v>1316.46</v>
      </c>
      <c r="H408">
        <f t="shared" ca="1" si="27"/>
        <v>462.53999999999996</v>
      </c>
      <c r="I408" t="str">
        <f t="shared" si="24"/>
        <v>Apr</v>
      </c>
      <c r="J408">
        <f>YEAR(SalesData[[#This Row],[Date]])</f>
        <v>2025</v>
      </c>
    </row>
    <row r="409" spans="1:10" x14ac:dyDescent="0.25">
      <c r="A409">
        <v>1409</v>
      </c>
      <c r="B409" s="1">
        <v>45758</v>
      </c>
      <c r="C409" t="s">
        <v>8</v>
      </c>
      <c r="D409" t="s">
        <v>13</v>
      </c>
      <c r="E409" t="s">
        <v>21</v>
      </c>
      <c r="F409">
        <f t="shared" ca="1" si="25"/>
        <v>1889</v>
      </c>
      <c r="G409">
        <f t="shared" ca="1" si="26"/>
        <v>1114.51</v>
      </c>
      <c r="H409">
        <f t="shared" ca="1" si="27"/>
        <v>774.49</v>
      </c>
      <c r="I409" t="str">
        <f t="shared" si="24"/>
        <v>Apr</v>
      </c>
      <c r="J409">
        <f>YEAR(SalesData[[#This Row],[Date]])</f>
        <v>2025</v>
      </c>
    </row>
    <row r="410" spans="1:10" x14ac:dyDescent="0.25">
      <c r="A410">
        <v>1410</v>
      </c>
      <c r="B410" s="1">
        <v>45759</v>
      </c>
      <c r="C410" t="s">
        <v>7</v>
      </c>
      <c r="D410" t="s">
        <v>12</v>
      </c>
      <c r="E410" t="s">
        <v>22</v>
      </c>
      <c r="F410">
        <f t="shared" ca="1" si="25"/>
        <v>589</v>
      </c>
      <c r="G410">
        <f t="shared" ca="1" si="26"/>
        <v>329.84</v>
      </c>
      <c r="H410">
        <f t="shared" ca="1" si="27"/>
        <v>259.16000000000003</v>
      </c>
      <c r="I410" t="str">
        <f t="shared" si="24"/>
        <v>Apr</v>
      </c>
      <c r="J410">
        <f>YEAR(SalesData[[#This Row],[Date]])</f>
        <v>2025</v>
      </c>
    </row>
    <row r="411" spans="1:10" x14ac:dyDescent="0.25">
      <c r="A411">
        <v>1411</v>
      </c>
      <c r="B411" s="1">
        <v>45760</v>
      </c>
      <c r="C411" t="s">
        <v>9</v>
      </c>
      <c r="D411" t="s">
        <v>24</v>
      </c>
      <c r="E411" t="s">
        <v>23</v>
      </c>
      <c r="F411">
        <f t="shared" ca="1" si="25"/>
        <v>873</v>
      </c>
      <c r="G411">
        <f t="shared" ca="1" si="26"/>
        <v>584.91</v>
      </c>
      <c r="H411">
        <f t="shared" ca="1" si="27"/>
        <v>288.09000000000003</v>
      </c>
      <c r="I411" t="str">
        <f t="shared" si="24"/>
        <v>Apr</v>
      </c>
      <c r="J411">
        <f>YEAR(SalesData[[#This Row],[Date]])</f>
        <v>2025</v>
      </c>
    </row>
    <row r="412" spans="1:10" x14ac:dyDescent="0.25">
      <c r="A412">
        <v>1412</v>
      </c>
      <c r="B412" s="1">
        <v>45761</v>
      </c>
      <c r="C412" t="s">
        <v>10</v>
      </c>
      <c r="D412" t="s">
        <v>12</v>
      </c>
      <c r="E412" t="s">
        <v>14</v>
      </c>
      <c r="F412">
        <f t="shared" ca="1" si="25"/>
        <v>1736</v>
      </c>
      <c r="G412">
        <f t="shared" ca="1" si="26"/>
        <v>937.44</v>
      </c>
      <c r="H412">
        <f t="shared" ca="1" si="27"/>
        <v>798.56</v>
      </c>
      <c r="I412" t="str">
        <f t="shared" si="24"/>
        <v>Apr</v>
      </c>
      <c r="J412">
        <f>YEAR(SalesData[[#This Row],[Date]])</f>
        <v>2025</v>
      </c>
    </row>
    <row r="413" spans="1:10" x14ac:dyDescent="0.25">
      <c r="A413">
        <v>1413</v>
      </c>
      <c r="B413" s="1">
        <v>45762</v>
      </c>
      <c r="C413" t="s">
        <v>8</v>
      </c>
      <c r="D413" t="s">
        <v>24</v>
      </c>
      <c r="E413" t="s">
        <v>15</v>
      </c>
      <c r="F413">
        <f t="shared" ca="1" si="25"/>
        <v>1229</v>
      </c>
      <c r="G413">
        <f t="shared" ca="1" si="26"/>
        <v>934.04</v>
      </c>
      <c r="H413">
        <f t="shared" ca="1" si="27"/>
        <v>294.96000000000004</v>
      </c>
      <c r="I413" t="str">
        <f t="shared" si="24"/>
        <v>Apr</v>
      </c>
      <c r="J413">
        <f>YEAR(SalesData[[#This Row],[Date]])</f>
        <v>2025</v>
      </c>
    </row>
    <row r="414" spans="1:10" x14ac:dyDescent="0.25">
      <c r="A414">
        <v>1414</v>
      </c>
      <c r="B414" s="1">
        <v>45763</v>
      </c>
      <c r="C414" t="s">
        <v>7</v>
      </c>
      <c r="D414" t="s">
        <v>13</v>
      </c>
      <c r="E414" t="s">
        <v>16</v>
      </c>
      <c r="F414">
        <f t="shared" ca="1" si="25"/>
        <v>1929</v>
      </c>
      <c r="G414">
        <f t="shared" ca="1" si="26"/>
        <v>964.5</v>
      </c>
      <c r="H414">
        <f t="shared" ca="1" si="27"/>
        <v>964.5</v>
      </c>
      <c r="I414" t="str">
        <f t="shared" si="24"/>
        <v>Apr</v>
      </c>
      <c r="J414">
        <f>YEAR(SalesData[[#This Row],[Date]])</f>
        <v>2025</v>
      </c>
    </row>
    <row r="415" spans="1:10" x14ac:dyDescent="0.25">
      <c r="A415">
        <v>1415</v>
      </c>
      <c r="B415" s="1">
        <v>45764</v>
      </c>
      <c r="C415" t="s">
        <v>9</v>
      </c>
      <c r="D415" t="s">
        <v>12</v>
      </c>
      <c r="E415" t="s">
        <v>17</v>
      </c>
      <c r="F415">
        <f t="shared" ca="1" si="25"/>
        <v>1685</v>
      </c>
      <c r="G415">
        <f t="shared" ca="1" si="26"/>
        <v>1280.5999999999999</v>
      </c>
      <c r="H415">
        <f t="shared" ca="1" si="27"/>
        <v>404.40000000000009</v>
      </c>
      <c r="I415" t="str">
        <f t="shared" si="24"/>
        <v>Apr</v>
      </c>
      <c r="J415">
        <f>YEAR(SalesData[[#This Row],[Date]])</f>
        <v>2025</v>
      </c>
    </row>
    <row r="416" spans="1:10" x14ac:dyDescent="0.25">
      <c r="A416">
        <v>1416</v>
      </c>
      <c r="B416" s="1">
        <v>45765</v>
      </c>
      <c r="C416" t="s">
        <v>10</v>
      </c>
      <c r="D416" t="s">
        <v>24</v>
      </c>
      <c r="E416" t="s">
        <v>18</v>
      </c>
      <c r="F416">
        <f t="shared" ca="1" si="25"/>
        <v>1882</v>
      </c>
      <c r="G416">
        <f t="shared" ca="1" si="26"/>
        <v>959.82</v>
      </c>
      <c r="H416">
        <f t="shared" ca="1" si="27"/>
        <v>922.18</v>
      </c>
      <c r="I416" t="str">
        <f t="shared" si="24"/>
        <v>Apr</v>
      </c>
      <c r="J416">
        <f>YEAR(SalesData[[#This Row],[Date]])</f>
        <v>2025</v>
      </c>
    </row>
    <row r="417" spans="1:10" x14ac:dyDescent="0.25">
      <c r="A417">
        <v>1417</v>
      </c>
      <c r="B417" s="1">
        <v>45766</v>
      </c>
      <c r="C417" t="s">
        <v>8</v>
      </c>
      <c r="D417" t="s">
        <v>12</v>
      </c>
      <c r="E417" t="s">
        <v>19</v>
      </c>
      <c r="F417">
        <f t="shared" ca="1" si="25"/>
        <v>1283</v>
      </c>
      <c r="G417">
        <f t="shared" ca="1" si="26"/>
        <v>898.1</v>
      </c>
      <c r="H417">
        <f t="shared" ca="1" si="27"/>
        <v>384.9</v>
      </c>
      <c r="I417" t="str">
        <f t="shared" si="24"/>
        <v>Apr</v>
      </c>
      <c r="J417">
        <f>YEAR(SalesData[[#This Row],[Date]])</f>
        <v>2025</v>
      </c>
    </row>
    <row r="418" spans="1:10" x14ac:dyDescent="0.25">
      <c r="A418">
        <v>1418</v>
      </c>
      <c r="B418" s="1">
        <v>45767</v>
      </c>
      <c r="C418" t="s">
        <v>7</v>
      </c>
      <c r="D418" t="s">
        <v>24</v>
      </c>
      <c r="E418" t="s">
        <v>20</v>
      </c>
      <c r="F418">
        <f t="shared" ca="1" si="25"/>
        <v>941</v>
      </c>
      <c r="G418">
        <f t="shared" ca="1" si="26"/>
        <v>649.29</v>
      </c>
      <c r="H418">
        <f t="shared" ca="1" si="27"/>
        <v>291.71000000000004</v>
      </c>
      <c r="I418" t="str">
        <f t="shared" si="24"/>
        <v>Apr</v>
      </c>
      <c r="J418">
        <f>YEAR(SalesData[[#This Row],[Date]])</f>
        <v>2025</v>
      </c>
    </row>
    <row r="419" spans="1:10" x14ac:dyDescent="0.25">
      <c r="A419">
        <v>1419</v>
      </c>
      <c r="B419" s="1">
        <v>45768</v>
      </c>
      <c r="C419" t="s">
        <v>9</v>
      </c>
      <c r="D419" t="s">
        <v>13</v>
      </c>
      <c r="E419" t="s">
        <v>21</v>
      </c>
      <c r="F419">
        <f t="shared" ca="1" si="25"/>
        <v>1850</v>
      </c>
      <c r="G419">
        <f t="shared" ca="1" si="26"/>
        <v>1276.5</v>
      </c>
      <c r="H419">
        <f t="shared" ca="1" si="27"/>
        <v>573.5</v>
      </c>
      <c r="I419" t="str">
        <f t="shared" si="24"/>
        <v>Apr</v>
      </c>
      <c r="J419">
        <f>YEAR(SalesData[[#This Row],[Date]])</f>
        <v>2025</v>
      </c>
    </row>
    <row r="420" spans="1:10" x14ac:dyDescent="0.25">
      <c r="A420">
        <v>1420</v>
      </c>
      <c r="B420" s="1">
        <v>45769</v>
      </c>
      <c r="C420" t="s">
        <v>10</v>
      </c>
      <c r="D420" t="s">
        <v>12</v>
      </c>
      <c r="E420" t="s">
        <v>22</v>
      </c>
      <c r="F420">
        <f t="shared" ca="1" si="25"/>
        <v>986</v>
      </c>
      <c r="G420">
        <f t="shared" ca="1" si="26"/>
        <v>640.9</v>
      </c>
      <c r="H420">
        <f t="shared" ca="1" si="27"/>
        <v>345.1</v>
      </c>
      <c r="I420" t="str">
        <f t="shared" si="24"/>
        <v>Apr</v>
      </c>
      <c r="J420">
        <f>YEAR(SalesData[[#This Row],[Date]])</f>
        <v>2025</v>
      </c>
    </row>
    <row r="421" spans="1:10" x14ac:dyDescent="0.25">
      <c r="A421">
        <v>1421</v>
      </c>
      <c r="B421" s="1">
        <v>45770</v>
      </c>
      <c r="C421" t="s">
        <v>8</v>
      </c>
      <c r="D421" t="s">
        <v>24</v>
      </c>
      <c r="E421" t="s">
        <v>23</v>
      </c>
      <c r="F421">
        <f t="shared" ca="1" si="25"/>
        <v>1536</v>
      </c>
      <c r="G421">
        <f t="shared" ca="1" si="26"/>
        <v>1121.28</v>
      </c>
      <c r="H421">
        <f t="shared" ca="1" si="27"/>
        <v>414.72</v>
      </c>
      <c r="I421" t="str">
        <f t="shared" si="24"/>
        <v>Apr</v>
      </c>
      <c r="J421">
        <f>YEAR(SalesData[[#This Row],[Date]])</f>
        <v>2025</v>
      </c>
    </row>
    <row r="422" spans="1:10" x14ac:dyDescent="0.25">
      <c r="A422">
        <v>1422</v>
      </c>
      <c r="B422" s="1">
        <v>45771</v>
      </c>
      <c r="C422" t="s">
        <v>7</v>
      </c>
      <c r="D422" t="s">
        <v>12</v>
      </c>
      <c r="E422" t="s">
        <v>14</v>
      </c>
      <c r="F422">
        <f t="shared" ca="1" si="25"/>
        <v>947</v>
      </c>
      <c r="G422">
        <f t="shared" ca="1" si="26"/>
        <v>662.9</v>
      </c>
      <c r="H422">
        <f t="shared" ca="1" si="27"/>
        <v>284.10000000000002</v>
      </c>
      <c r="I422" t="str">
        <f t="shared" si="24"/>
        <v>Apr</v>
      </c>
      <c r="J422">
        <f>YEAR(SalesData[[#This Row],[Date]])</f>
        <v>2025</v>
      </c>
    </row>
    <row r="423" spans="1:10" x14ac:dyDescent="0.25">
      <c r="A423">
        <v>1423</v>
      </c>
      <c r="B423" s="1">
        <v>45772</v>
      </c>
      <c r="C423" t="s">
        <v>9</v>
      </c>
      <c r="D423" t="s">
        <v>24</v>
      </c>
      <c r="E423" t="s">
        <v>15</v>
      </c>
      <c r="F423">
        <f t="shared" ca="1" si="25"/>
        <v>520</v>
      </c>
      <c r="G423">
        <f t="shared" ca="1" si="26"/>
        <v>416</v>
      </c>
      <c r="H423">
        <f t="shared" ca="1" si="27"/>
        <v>104</v>
      </c>
      <c r="I423" t="str">
        <f t="shared" si="24"/>
        <v>Apr</v>
      </c>
      <c r="J423">
        <f>YEAR(SalesData[[#This Row],[Date]])</f>
        <v>2025</v>
      </c>
    </row>
    <row r="424" spans="1:10" x14ac:dyDescent="0.25">
      <c r="A424">
        <v>1424</v>
      </c>
      <c r="B424" s="1">
        <v>45773</v>
      </c>
      <c r="C424" t="s">
        <v>10</v>
      </c>
      <c r="D424" t="s">
        <v>13</v>
      </c>
      <c r="E424" t="s">
        <v>16</v>
      </c>
      <c r="F424">
        <f t="shared" ca="1" si="25"/>
        <v>1840</v>
      </c>
      <c r="G424">
        <f t="shared" ca="1" si="26"/>
        <v>1472</v>
      </c>
      <c r="H424">
        <f t="shared" ca="1" si="27"/>
        <v>368</v>
      </c>
      <c r="I424" t="str">
        <f t="shared" si="24"/>
        <v>Apr</v>
      </c>
      <c r="J424">
        <f>YEAR(SalesData[[#This Row],[Date]])</f>
        <v>2025</v>
      </c>
    </row>
    <row r="425" spans="1:10" x14ac:dyDescent="0.25">
      <c r="A425">
        <v>1425</v>
      </c>
      <c r="B425" s="1">
        <v>45774</v>
      </c>
      <c r="C425" t="s">
        <v>8</v>
      </c>
      <c r="D425" t="s">
        <v>12</v>
      </c>
      <c r="E425" t="s">
        <v>17</v>
      </c>
      <c r="F425">
        <f t="shared" ca="1" si="25"/>
        <v>1285</v>
      </c>
      <c r="G425">
        <f t="shared" ca="1" si="26"/>
        <v>938.05</v>
      </c>
      <c r="H425">
        <f t="shared" ca="1" si="27"/>
        <v>346.95000000000005</v>
      </c>
      <c r="I425" t="str">
        <f t="shared" si="24"/>
        <v>Apr</v>
      </c>
      <c r="J425">
        <f>YEAR(SalesData[[#This Row],[Date]])</f>
        <v>2025</v>
      </c>
    </row>
    <row r="426" spans="1:10" x14ac:dyDescent="0.25">
      <c r="A426">
        <v>1426</v>
      </c>
      <c r="B426" s="1">
        <v>45775</v>
      </c>
      <c r="C426" t="s">
        <v>7</v>
      </c>
      <c r="D426" t="s">
        <v>24</v>
      </c>
      <c r="E426" t="s">
        <v>18</v>
      </c>
      <c r="F426">
        <f t="shared" ca="1" si="25"/>
        <v>1303</v>
      </c>
      <c r="G426">
        <f t="shared" ca="1" si="26"/>
        <v>755.74</v>
      </c>
      <c r="H426">
        <f t="shared" ca="1" si="27"/>
        <v>547.26</v>
      </c>
      <c r="I426" t="str">
        <f t="shared" si="24"/>
        <v>Apr</v>
      </c>
      <c r="J426">
        <f>YEAR(SalesData[[#This Row],[Date]])</f>
        <v>2025</v>
      </c>
    </row>
    <row r="427" spans="1:10" x14ac:dyDescent="0.25">
      <c r="A427">
        <v>1427</v>
      </c>
      <c r="B427" s="1">
        <v>45776</v>
      </c>
      <c r="C427" t="s">
        <v>9</v>
      </c>
      <c r="D427" t="s">
        <v>12</v>
      </c>
      <c r="E427" t="s">
        <v>19</v>
      </c>
      <c r="F427">
        <f t="shared" ca="1" si="25"/>
        <v>400</v>
      </c>
      <c r="G427">
        <f t="shared" ca="1" si="26"/>
        <v>296</v>
      </c>
      <c r="H427">
        <f t="shared" ca="1" si="27"/>
        <v>104</v>
      </c>
      <c r="I427" t="str">
        <f t="shared" si="24"/>
        <v>Apr</v>
      </c>
      <c r="J427">
        <f>YEAR(SalesData[[#This Row],[Date]])</f>
        <v>2025</v>
      </c>
    </row>
    <row r="428" spans="1:10" x14ac:dyDescent="0.25">
      <c r="A428">
        <v>1428</v>
      </c>
      <c r="B428" s="1">
        <v>45777</v>
      </c>
      <c r="C428" t="s">
        <v>10</v>
      </c>
      <c r="D428" t="s">
        <v>24</v>
      </c>
      <c r="E428" t="s">
        <v>20</v>
      </c>
      <c r="F428">
        <f t="shared" ca="1" si="25"/>
        <v>1888</v>
      </c>
      <c r="G428">
        <f t="shared" ca="1" si="26"/>
        <v>981.76</v>
      </c>
      <c r="H428">
        <f t="shared" ca="1" si="27"/>
        <v>906.24</v>
      </c>
      <c r="I428" t="str">
        <f t="shared" si="24"/>
        <v>Apr</v>
      </c>
      <c r="J428">
        <f>YEAR(SalesData[[#This Row],[Date]])</f>
        <v>2025</v>
      </c>
    </row>
    <row r="429" spans="1:10" x14ac:dyDescent="0.25">
      <c r="A429">
        <v>1429</v>
      </c>
      <c r="B429" s="1">
        <v>45778</v>
      </c>
      <c r="C429" t="s">
        <v>8</v>
      </c>
      <c r="D429" t="s">
        <v>13</v>
      </c>
      <c r="E429" t="s">
        <v>21</v>
      </c>
      <c r="F429">
        <f t="shared" ca="1" si="25"/>
        <v>1939</v>
      </c>
      <c r="G429">
        <f t="shared" ca="1" si="26"/>
        <v>1512.42</v>
      </c>
      <c r="H429">
        <f t="shared" ca="1" si="27"/>
        <v>426.57999999999993</v>
      </c>
      <c r="I429" t="str">
        <f t="shared" si="24"/>
        <v>May</v>
      </c>
      <c r="J429">
        <f>YEAR(SalesData[[#This Row],[Date]])</f>
        <v>2025</v>
      </c>
    </row>
    <row r="430" spans="1:10" x14ac:dyDescent="0.25">
      <c r="A430">
        <v>1430</v>
      </c>
      <c r="B430" s="1">
        <v>45779</v>
      </c>
      <c r="C430" t="s">
        <v>7</v>
      </c>
      <c r="D430" t="s">
        <v>12</v>
      </c>
      <c r="E430" t="s">
        <v>22</v>
      </c>
      <c r="F430">
        <f t="shared" ca="1" si="25"/>
        <v>866</v>
      </c>
      <c r="G430">
        <f t="shared" ca="1" si="26"/>
        <v>606.20000000000005</v>
      </c>
      <c r="H430">
        <f t="shared" ca="1" si="27"/>
        <v>259.79999999999995</v>
      </c>
      <c r="I430" t="str">
        <f t="shared" si="24"/>
        <v>May</v>
      </c>
      <c r="J430">
        <f>YEAR(SalesData[[#This Row],[Date]])</f>
        <v>2025</v>
      </c>
    </row>
    <row r="431" spans="1:10" x14ac:dyDescent="0.25">
      <c r="A431">
        <v>1431</v>
      </c>
      <c r="B431" s="1">
        <v>45780</v>
      </c>
      <c r="C431" t="s">
        <v>9</v>
      </c>
      <c r="D431" t="s">
        <v>24</v>
      </c>
      <c r="E431" t="s">
        <v>23</v>
      </c>
      <c r="F431">
        <f t="shared" ca="1" si="25"/>
        <v>1844</v>
      </c>
      <c r="G431">
        <f t="shared" ca="1" si="26"/>
        <v>1346.12</v>
      </c>
      <c r="H431">
        <f t="shared" ca="1" si="27"/>
        <v>497.88000000000011</v>
      </c>
      <c r="I431" t="str">
        <f t="shared" si="24"/>
        <v>May</v>
      </c>
      <c r="J431">
        <f>YEAR(SalesData[[#This Row],[Date]])</f>
        <v>2025</v>
      </c>
    </row>
    <row r="432" spans="1:10" x14ac:dyDescent="0.25">
      <c r="A432">
        <v>1432</v>
      </c>
      <c r="B432" s="1">
        <v>45781</v>
      </c>
      <c r="C432" t="s">
        <v>10</v>
      </c>
      <c r="D432" t="s">
        <v>12</v>
      </c>
      <c r="E432" t="s">
        <v>14</v>
      </c>
      <c r="F432">
        <f t="shared" ca="1" si="25"/>
        <v>1432</v>
      </c>
      <c r="G432">
        <f t="shared" ca="1" si="26"/>
        <v>1031.04</v>
      </c>
      <c r="H432">
        <f t="shared" ca="1" si="27"/>
        <v>400.96000000000004</v>
      </c>
      <c r="I432" t="str">
        <f t="shared" si="24"/>
        <v>May</v>
      </c>
      <c r="J432">
        <f>YEAR(SalesData[[#This Row],[Date]])</f>
        <v>2025</v>
      </c>
    </row>
    <row r="433" spans="1:10" x14ac:dyDescent="0.25">
      <c r="A433">
        <v>1433</v>
      </c>
      <c r="B433" s="1">
        <v>45782</v>
      </c>
      <c r="C433" t="s">
        <v>8</v>
      </c>
      <c r="D433" t="s">
        <v>24</v>
      </c>
      <c r="E433" t="s">
        <v>15</v>
      </c>
      <c r="F433">
        <f t="shared" ca="1" si="25"/>
        <v>1049</v>
      </c>
      <c r="G433">
        <f t="shared" ca="1" si="26"/>
        <v>597.92999999999995</v>
      </c>
      <c r="H433">
        <f t="shared" ca="1" si="27"/>
        <v>451.07000000000005</v>
      </c>
      <c r="I433" t="str">
        <f t="shared" si="24"/>
        <v>May</v>
      </c>
      <c r="J433">
        <f>YEAR(SalesData[[#This Row],[Date]])</f>
        <v>2025</v>
      </c>
    </row>
    <row r="434" spans="1:10" x14ac:dyDescent="0.25">
      <c r="A434">
        <v>1434</v>
      </c>
      <c r="B434" s="1">
        <v>45783</v>
      </c>
      <c r="C434" t="s">
        <v>7</v>
      </c>
      <c r="D434" t="s">
        <v>13</v>
      </c>
      <c r="E434" t="s">
        <v>16</v>
      </c>
      <c r="F434">
        <f t="shared" ca="1" si="25"/>
        <v>1265</v>
      </c>
      <c r="G434">
        <f t="shared" ca="1" si="26"/>
        <v>683.1</v>
      </c>
      <c r="H434">
        <f t="shared" ca="1" si="27"/>
        <v>581.9</v>
      </c>
      <c r="I434" t="str">
        <f t="shared" si="24"/>
        <v>May</v>
      </c>
      <c r="J434">
        <f>YEAR(SalesData[[#This Row],[Date]])</f>
        <v>2025</v>
      </c>
    </row>
    <row r="435" spans="1:10" x14ac:dyDescent="0.25">
      <c r="A435">
        <v>1435</v>
      </c>
      <c r="B435" s="1">
        <v>45784</v>
      </c>
      <c r="C435" t="s">
        <v>9</v>
      </c>
      <c r="D435" t="s">
        <v>12</v>
      </c>
      <c r="E435" t="s">
        <v>17</v>
      </c>
      <c r="F435">
        <f t="shared" ca="1" si="25"/>
        <v>1041</v>
      </c>
      <c r="G435">
        <f t="shared" ca="1" si="26"/>
        <v>593.37</v>
      </c>
      <c r="H435">
        <f t="shared" ca="1" si="27"/>
        <v>447.63</v>
      </c>
      <c r="I435" t="str">
        <f t="shared" si="24"/>
        <v>May</v>
      </c>
      <c r="J435">
        <f>YEAR(SalesData[[#This Row],[Date]])</f>
        <v>2025</v>
      </c>
    </row>
    <row r="436" spans="1:10" x14ac:dyDescent="0.25">
      <c r="A436">
        <v>1436</v>
      </c>
      <c r="B436" s="1">
        <v>45785</v>
      </c>
      <c r="C436" t="s">
        <v>10</v>
      </c>
      <c r="D436" t="s">
        <v>24</v>
      </c>
      <c r="E436" t="s">
        <v>18</v>
      </c>
      <c r="F436">
        <f t="shared" ca="1" si="25"/>
        <v>765</v>
      </c>
      <c r="G436">
        <f t="shared" ca="1" si="26"/>
        <v>459</v>
      </c>
      <c r="H436">
        <f t="shared" ca="1" si="27"/>
        <v>306</v>
      </c>
      <c r="I436" t="str">
        <f t="shared" si="24"/>
        <v>May</v>
      </c>
      <c r="J436">
        <f>YEAR(SalesData[[#This Row],[Date]])</f>
        <v>2025</v>
      </c>
    </row>
    <row r="437" spans="1:10" x14ac:dyDescent="0.25">
      <c r="A437">
        <v>1437</v>
      </c>
      <c r="B437" s="1">
        <v>45786</v>
      </c>
      <c r="C437" t="s">
        <v>8</v>
      </c>
      <c r="D437" t="s">
        <v>12</v>
      </c>
      <c r="E437" t="s">
        <v>19</v>
      </c>
      <c r="F437">
        <f t="shared" ca="1" si="25"/>
        <v>1604</v>
      </c>
      <c r="G437">
        <f t="shared" ca="1" si="26"/>
        <v>1090.72</v>
      </c>
      <c r="H437">
        <f t="shared" ca="1" si="27"/>
        <v>513.28</v>
      </c>
      <c r="I437" t="str">
        <f t="shared" si="24"/>
        <v>May</v>
      </c>
      <c r="J437">
        <f>YEAR(SalesData[[#This Row],[Date]])</f>
        <v>2025</v>
      </c>
    </row>
    <row r="438" spans="1:10" x14ac:dyDescent="0.25">
      <c r="A438">
        <v>1438</v>
      </c>
      <c r="B438" s="1">
        <v>45787</v>
      </c>
      <c r="C438" t="s">
        <v>7</v>
      </c>
      <c r="D438" t="s">
        <v>24</v>
      </c>
      <c r="E438" t="s">
        <v>20</v>
      </c>
      <c r="F438">
        <f t="shared" ca="1" si="25"/>
        <v>472</v>
      </c>
      <c r="G438">
        <f t="shared" ca="1" si="26"/>
        <v>269.04000000000002</v>
      </c>
      <c r="H438">
        <f t="shared" ca="1" si="27"/>
        <v>202.95999999999998</v>
      </c>
      <c r="I438" t="str">
        <f t="shared" si="24"/>
        <v>May</v>
      </c>
      <c r="J438">
        <f>YEAR(SalesData[[#This Row],[Date]])</f>
        <v>2025</v>
      </c>
    </row>
    <row r="439" spans="1:10" x14ac:dyDescent="0.25">
      <c r="A439">
        <v>1439</v>
      </c>
      <c r="B439" s="1">
        <v>45788</v>
      </c>
      <c r="C439" t="s">
        <v>9</v>
      </c>
      <c r="D439" t="s">
        <v>13</v>
      </c>
      <c r="E439" t="s">
        <v>21</v>
      </c>
      <c r="F439">
        <f t="shared" ca="1" si="25"/>
        <v>771</v>
      </c>
      <c r="G439">
        <f t="shared" ca="1" si="26"/>
        <v>462.6</v>
      </c>
      <c r="H439">
        <f t="shared" ca="1" si="27"/>
        <v>308.39999999999998</v>
      </c>
      <c r="I439" t="str">
        <f t="shared" si="24"/>
        <v>May</v>
      </c>
      <c r="J439">
        <f>YEAR(SalesData[[#This Row],[Date]])</f>
        <v>2025</v>
      </c>
    </row>
    <row r="440" spans="1:10" x14ac:dyDescent="0.25">
      <c r="A440">
        <v>1440</v>
      </c>
      <c r="B440" s="1">
        <v>45789</v>
      </c>
      <c r="C440" t="s">
        <v>10</v>
      </c>
      <c r="D440" t="s">
        <v>12</v>
      </c>
      <c r="E440" t="s">
        <v>22</v>
      </c>
      <c r="F440">
        <f t="shared" ca="1" si="25"/>
        <v>1351</v>
      </c>
      <c r="G440">
        <f t="shared" ca="1" si="26"/>
        <v>932.19</v>
      </c>
      <c r="H440">
        <f t="shared" ca="1" si="27"/>
        <v>418.80999999999995</v>
      </c>
      <c r="I440" t="str">
        <f t="shared" si="24"/>
        <v>May</v>
      </c>
      <c r="J440">
        <f>YEAR(SalesData[[#This Row],[Date]])</f>
        <v>2025</v>
      </c>
    </row>
    <row r="441" spans="1:10" x14ac:dyDescent="0.25">
      <c r="A441">
        <v>1441</v>
      </c>
      <c r="B441" s="1">
        <v>45790</v>
      </c>
      <c r="C441" t="s">
        <v>8</v>
      </c>
      <c r="D441" t="s">
        <v>24</v>
      </c>
      <c r="E441" t="s">
        <v>23</v>
      </c>
      <c r="F441">
        <f t="shared" ca="1" si="25"/>
        <v>1261</v>
      </c>
      <c r="G441">
        <f t="shared" ca="1" si="26"/>
        <v>794.43</v>
      </c>
      <c r="H441">
        <f t="shared" ca="1" si="27"/>
        <v>466.57000000000005</v>
      </c>
      <c r="I441" t="str">
        <f t="shared" si="24"/>
        <v>May</v>
      </c>
      <c r="J441">
        <f>YEAR(SalesData[[#This Row],[Date]])</f>
        <v>2025</v>
      </c>
    </row>
    <row r="442" spans="1:10" x14ac:dyDescent="0.25">
      <c r="A442">
        <v>1442</v>
      </c>
      <c r="B442" s="1">
        <v>45791</v>
      </c>
      <c r="C442" t="s">
        <v>7</v>
      </c>
      <c r="D442" t="s">
        <v>12</v>
      </c>
      <c r="E442" t="s">
        <v>14</v>
      </c>
      <c r="F442">
        <f t="shared" ca="1" si="25"/>
        <v>899</v>
      </c>
      <c r="G442">
        <f t="shared" ca="1" si="26"/>
        <v>458.49</v>
      </c>
      <c r="H442">
        <f t="shared" ca="1" si="27"/>
        <v>440.51</v>
      </c>
      <c r="I442" t="str">
        <f t="shared" si="24"/>
        <v>May</v>
      </c>
      <c r="J442">
        <f>YEAR(SalesData[[#This Row],[Date]])</f>
        <v>2025</v>
      </c>
    </row>
    <row r="443" spans="1:10" x14ac:dyDescent="0.25">
      <c r="A443">
        <v>1443</v>
      </c>
      <c r="B443" s="1">
        <v>45792</v>
      </c>
      <c r="C443" t="s">
        <v>9</v>
      </c>
      <c r="D443" t="s">
        <v>24</v>
      </c>
      <c r="E443" t="s">
        <v>15</v>
      </c>
      <c r="F443">
        <f t="shared" ca="1" si="25"/>
        <v>518</v>
      </c>
      <c r="G443">
        <f t="shared" ca="1" si="26"/>
        <v>362.6</v>
      </c>
      <c r="H443">
        <f t="shared" ca="1" si="27"/>
        <v>155.39999999999998</v>
      </c>
      <c r="I443" t="str">
        <f t="shared" si="24"/>
        <v>May</v>
      </c>
      <c r="J443">
        <f>YEAR(SalesData[[#This Row],[Date]])</f>
        <v>2025</v>
      </c>
    </row>
    <row r="444" spans="1:10" x14ac:dyDescent="0.25">
      <c r="A444">
        <v>1444</v>
      </c>
      <c r="B444" s="1">
        <v>45793</v>
      </c>
      <c r="C444" t="s">
        <v>10</v>
      </c>
      <c r="D444" t="s">
        <v>13</v>
      </c>
      <c r="E444" t="s">
        <v>16</v>
      </c>
      <c r="F444">
        <f t="shared" ca="1" si="25"/>
        <v>1797</v>
      </c>
      <c r="G444">
        <f t="shared" ca="1" si="26"/>
        <v>1365.72</v>
      </c>
      <c r="H444">
        <f t="shared" ca="1" si="27"/>
        <v>431.28</v>
      </c>
      <c r="I444" t="str">
        <f t="shared" si="24"/>
        <v>May</v>
      </c>
      <c r="J444">
        <f>YEAR(SalesData[[#This Row],[Date]])</f>
        <v>2025</v>
      </c>
    </row>
    <row r="445" spans="1:10" x14ac:dyDescent="0.25">
      <c r="A445">
        <v>1445</v>
      </c>
      <c r="B445" s="1">
        <v>45794</v>
      </c>
      <c r="C445" t="s">
        <v>8</v>
      </c>
      <c r="D445" t="s">
        <v>12</v>
      </c>
      <c r="E445" t="s">
        <v>17</v>
      </c>
      <c r="F445">
        <f t="shared" ca="1" si="25"/>
        <v>592</v>
      </c>
      <c r="G445">
        <f t="shared" ca="1" si="26"/>
        <v>467.68</v>
      </c>
      <c r="H445">
        <f t="shared" ca="1" si="27"/>
        <v>124.32</v>
      </c>
      <c r="I445" t="str">
        <f t="shared" si="24"/>
        <v>May</v>
      </c>
      <c r="J445">
        <f>YEAR(SalesData[[#This Row],[Date]])</f>
        <v>2025</v>
      </c>
    </row>
    <row r="446" spans="1:10" x14ac:dyDescent="0.25">
      <c r="A446">
        <v>1446</v>
      </c>
      <c r="B446" s="1">
        <v>45795</v>
      </c>
      <c r="C446" t="s">
        <v>7</v>
      </c>
      <c r="D446" t="s">
        <v>24</v>
      </c>
      <c r="E446" t="s">
        <v>18</v>
      </c>
      <c r="F446">
        <f t="shared" ca="1" si="25"/>
        <v>532</v>
      </c>
      <c r="G446">
        <f t="shared" ca="1" si="26"/>
        <v>281.95999999999998</v>
      </c>
      <c r="H446">
        <f t="shared" ca="1" si="27"/>
        <v>250.04000000000002</v>
      </c>
      <c r="I446" t="str">
        <f t="shared" si="24"/>
        <v>May</v>
      </c>
      <c r="J446">
        <f>YEAR(SalesData[[#This Row],[Date]])</f>
        <v>2025</v>
      </c>
    </row>
    <row r="447" spans="1:10" x14ac:dyDescent="0.25">
      <c r="A447">
        <v>1447</v>
      </c>
      <c r="B447" s="1">
        <v>45796</v>
      </c>
      <c r="C447" t="s">
        <v>9</v>
      </c>
      <c r="D447" t="s">
        <v>12</v>
      </c>
      <c r="E447" t="s">
        <v>19</v>
      </c>
      <c r="F447">
        <f t="shared" ca="1" si="25"/>
        <v>1203</v>
      </c>
      <c r="G447">
        <f t="shared" ca="1" si="26"/>
        <v>733.83</v>
      </c>
      <c r="H447">
        <f t="shared" ca="1" si="27"/>
        <v>469.16999999999996</v>
      </c>
      <c r="I447" t="str">
        <f t="shared" si="24"/>
        <v>May</v>
      </c>
      <c r="J447">
        <f>YEAR(SalesData[[#This Row],[Date]])</f>
        <v>2025</v>
      </c>
    </row>
    <row r="448" spans="1:10" x14ac:dyDescent="0.25">
      <c r="A448">
        <v>1448</v>
      </c>
      <c r="B448" s="1">
        <v>45797</v>
      </c>
      <c r="C448" t="s">
        <v>10</v>
      </c>
      <c r="D448" t="s">
        <v>24</v>
      </c>
      <c r="E448" t="s">
        <v>20</v>
      </c>
      <c r="F448">
        <f t="shared" ca="1" si="25"/>
        <v>431</v>
      </c>
      <c r="G448">
        <f t="shared" ca="1" si="26"/>
        <v>301.7</v>
      </c>
      <c r="H448">
        <f t="shared" ca="1" si="27"/>
        <v>129.30000000000001</v>
      </c>
      <c r="I448" t="str">
        <f t="shared" si="24"/>
        <v>May</v>
      </c>
      <c r="J448">
        <f>YEAR(SalesData[[#This Row],[Date]])</f>
        <v>2025</v>
      </c>
    </row>
    <row r="449" spans="1:10" x14ac:dyDescent="0.25">
      <c r="A449">
        <v>1449</v>
      </c>
      <c r="B449" s="1">
        <v>45798</v>
      </c>
      <c r="C449" t="s">
        <v>8</v>
      </c>
      <c r="D449" t="s">
        <v>13</v>
      </c>
      <c r="E449" t="s">
        <v>21</v>
      </c>
      <c r="F449">
        <f t="shared" ca="1" si="25"/>
        <v>857</v>
      </c>
      <c r="G449">
        <f t="shared" ca="1" si="26"/>
        <v>565.62</v>
      </c>
      <c r="H449">
        <f t="shared" ca="1" si="27"/>
        <v>291.38</v>
      </c>
      <c r="I449" t="str">
        <f t="shared" si="24"/>
        <v>May</v>
      </c>
      <c r="J449">
        <f>YEAR(SalesData[[#This Row],[Date]])</f>
        <v>2025</v>
      </c>
    </row>
    <row r="450" spans="1:10" x14ac:dyDescent="0.25">
      <c r="A450">
        <v>1450</v>
      </c>
      <c r="B450" s="1">
        <v>45799</v>
      </c>
      <c r="C450" t="s">
        <v>7</v>
      </c>
      <c r="D450" t="s">
        <v>12</v>
      </c>
      <c r="E450" t="s">
        <v>22</v>
      </c>
      <c r="F450">
        <f t="shared" ca="1" si="25"/>
        <v>930</v>
      </c>
      <c r="G450">
        <f t="shared" ca="1" si="26"/>
        <v>725.4</v>
      </c>
      <c r="H450">
        <f t="shared" ca="1" si="27"/>
        <v>204.60000000000002</v>
      </c>
      <c r="I450" t="str">
        <f t="shared" ref="I450:I500" si="28">TEXT(B450,"mmm")</f>
        <v>May</v>
      </c>
      <c r="J450">
        <f>YEAR(SalesData[[#This Row],[Date]])</f>
        <v>2025</v>
      </c>
    </row>
    <row r="451" spans="1:10" x14ac:dyDescent="0.25">
      <c r="A451">
        <v>1451</v>
      </c>
      <c r="B451" s="1">
        <v>45800</v>
      </c>
      <c r="C451" t="s">
        <v>9</v>
      </c>
      <c r="D451" t="s">
        <v>24</v>
      </c>
      <c r="E451" t="s">
        <v>23</v>
      </c>
      <c r="F451">
        <f t="shared" ref="F451:F500" ca="1" si="29">RANDBETWEEN(300,2000)</f>
        <v>947</v>
      </c>
      <c r="G451">
        <f t="shared" ref="G451:G500" ca="1" si="30">F451*RANDBETWEEN(50,80)/100</f>
        <v>738.66</v>
      </c>
      <c r="H451">
        <f t="shared" ref="H451:H500" ca="1" si="31">F451-G451</f>
        <v>208.34000000000003</v>
      </c>
      <c r="I451" t="str">
        <f t="shared" si="28"/>
        <v>May</v>
      </c>
      <c r="J451">
        <f>YEAR(SalesData[[#This Row],[Date]])</f>
        <v>2025</v>
      </c>
    </row>
    <row r="452" spans="1:10" x14ac:dyDescent="0.25">
      <c r="A452">
        <v>1452</v>
      </c>
      <c r="B452" s="1">
        <v>45801</v>
      </c>
      <c r="C452" t="s">
        <v>10</v>
      </c>
      <c r="D452" t="s">
        <v>12</v>
      </c>
      <c r="E452" t="s">
        <v>14</v>
      </c>
      <c r="F452">
        <f t="shared" ca="1" si="29"/>
        <v>516</v>
      </c>
      <c r="G452">
        <f t="shared" ca="1" si="30"/>
        <v>325.08</v>
      </c>
      <c r="H452">
        <f t="shared" ca="1" si="31"/>
        <v>190.92000000000002</v>
      </c>
      <c r="I452" t="str">
        <f t="shared" si="28"/>
        <v>May</v>
      </c>
      <c r="J452">
        <f>YEAR(SalesData[[#This Row],[Date]])</f>
        <v>2025</v>
      </c>
    </row>
    <row r="453" spans="1:10" x14ac:dyDescent="0.25">
      <c r="A453">
        <v>1453</v>
      </c>
      <c r="B453" s="1">
        <v>45802</v>
      </c>
      <c r="C453" t="s">
        <v>8</v>
      </c>
      <c r="D453" t="s">
        <v>24</v>
      </c>
      <c r="E453" t="s">
        <v>15</v>
      </c>
      <c r="F453">
        <f t="shared" ca="1" si="29"/>
        <v>848</v>
      </c>
      <c r="G453">
        <f t="shared" ca="1" si="30"/>
        <v>636</v>
      </c>
      <c r="H453">
        <f t="shared" ca="1" si="31"/>
        <v>212</v>
      </c>
      <c r="I453" t="str">
        <f t="shared" si="28"/>
        <v>May</v>
      </c>
      <c r="J453">
        <f>YEAR(SalesData[[#This Row],[Date]])</f>
        <v>2025</v>
      </c>
    </row>
    <row r="454" spans="1:10" x14ac:dyDescent="0.25">
      <c r="A454">
        <v>1454</v>
      </c>
      <c r="B454" s="1">
        <v>45803</v>
      </c>
      <c r="C454" t="s">
        <v>7</v>
      </c>
      <c r="D454" t="s">
        <v>13</v>
      </c>
      <c r="E454" t="s">
        <v>16</v>
      </c>
      <c r="F454">
        <f t="shared" ca="1" si="29"/>
        <v>979</v>
      </c>
      <c r="G454">
        <f t="shared" ca="1" si="30"/>
        <v>499.29</v>
      </c>
      <c r="H454">
        <f t="shared" ca="1" si="31"/>
        <v>479.71</v>
      </c>
      <c r="I454" t="str">
        <f t="shared" si="28"/>
        <v>May</v>
      </c>
      <c r="J454">
        <f>YEAR(SalesData[[#This Row],[Date]])</f>
        <v>2025</v>
      </c>
    </row>
    <row r="455" spans="1:10" x14ac:dyDescent="0.25">
      <c r="A455">
        <v>1455</v>
      </c>
      <c r="B455" s="1">
        <v>45804</v>
      </c>
      <c r="C455" t="s">
        <v>9</v>
      </c>
      <c r="D455" t="s">
        <v>12</v>
      </c>
      <c r="E455" t="s">
        <v>17</v>
      </c>
      <c r="F455">
        <f t="shared" ca="1" si="29"/>
        <v>770</v>
      </c>
      <c r="G455">
        <f t="shared" ca="1" si="30"/>
        <v>485.1</v>
      </c>
      <c r="H455">
        <f t="shared" ca="1" si="31"/>
        <v>284.89999999999998</v>
      </c>
      <c r="I455" t="str">
        <f t="shared" si="28"/>
        <v>May</v>
      </c>
      <c r="J455">
        <f>YEAR(SalesData[[#This Row],[Date]])</f>
        <v>2025</v>
      </c>
    </row>
    <row r="456" spans="1:10" x14ac:dyDescent="0.25">
      <c r="A456">
        <v>1456</v>
      </c>
      <c r="B456" s="1">
        <v>45805</v>
      </c>
      <c r="C456" t="s">
        <v>10</v>
      </c>
      <c r="D456" t="s">
        <v>24</v>
      </c>
      <c r="E456" t="s">
        <v>18</v>
      </c>
      <c r="F456">
        <f t="shared" ca="1" si="29"/>
        <v>1082</v>
      </c>
      <c r="G456">
        <f t="shared" ca="1" si="30"/>
        <v>660.02</v>
      </c>
      <c r="H456">
        <f t="shared" ca="1" si="31"/>
        <v>421.98</v>
      </c>
      <c r="I456" t="str">
        <f t="shared" si="28"/>
        <v>May</v>
      </c>
      <c r="J456">
        <f>YEAR(SalesData[[#This Row],[Date]])</f>
        <v>2025</v>
      </c>
    </row>
    <row r="457" spans="1:10" x14ac:dyDescent="0.25">
      <c r="A457">
        <v>1457</v>
      </c>
      <c r="B457" s="1">
        <v>45806</v>
      </c>
      <c r="C457" t="s">
        <v>8</v>
      </c>
      <c r="D457" t="s">
        <v>12</v>
      </c>
      <c r="E457" t="s">
        <v>19</v>
      </c>
      <c r="F457">
        <f t="shared" ca="1" si="29"/>
        <v>1356</v>
      </c>
      <c r="G457">
        <f t="shared" ca="1" si="30"/>
        <v>1030.56</v>
      </c>
      <c r="H457">
        <f t="shared" ca="1" si="31"/>
        <v>325.44000000000005</v>
      </c>
      <c r="I457" t="str">
        <f t="shared" si="28"/>
        <v>May</v>
      </c>
      <c r="J457">
        <f>YEAR(SalesData[[#This Row],[Date]])</f>
        <v>2025</v>
      </c>
    </row>
    <row r="458" spans="1:10" x14ac:dyDescent="0.25">
      <c r="A458">
        <v>1458</v>
      </c>
      <c r="B458" s="1">
        <v>45807</v>
      </c>
      <c r="C458" t="s">
        <v>7</v>
      </c>
      <c r="D458" t="s">
        <v>24</v>
      </c>
      <c r="E458" t="s">
        <v>20</v>
      </c>
      <c r="F458">
        <f t="shared" ca="1" si="29"/>
        <v>1853</v>
      </c>
      <c r="G458">
        <f t="shared" ca="1" si="30"/>
        <v>1297.0999999999999</v>
      </c>
      <c r="H458">
        <f t="shared" ca="1" si="31"/>
        <v>555.90000000000009</v>
      </c>
      <c r="I458" t="str">
        <f t="shared" si="28"/>
        <v>May</v>
      </c>
      <c r="J458">
        <f>YEAR(SalesData[[#This Row],[Date]])</f>
        <v>2025</v>
      </c>
    </row>
    <row r="459" spans="1:10" x14ac:dyDescent="0.25">
      <c r="A459">
        <v>1459</v>
      </c>
      <c r="B459" s="1">
        <v>45808</v>
      </c>
      <c r="C459" t="s">
        <v>9</v>
      </c>
      <c r="D459" t="s">
        <v>13</v>
      </c>
      <c r="E459" t="s">
        <v>21</v>
      </c>
      <c r="F459">
        <f t="shared" ca="1" si="29"/>
        <v>1722</v>
      </c>
      <c r="G459">
        <f t="shared" ca="1" si="30"/>
        <v>1050.42</v>
      </c>
      <c r="H459">
        <f t="shared" ca="1" si="31"/>
        <v>671.57999999999993</v>
      </c>
      <c r="I459" t="str">
        <f t="shared" si="28"/>
        <v>May</v>
      </c>
      <c r="J459">
        <f>YEAR(SalesData[[#This Row],[Date]])</f>
        <v>2025</v>
      </c>
    </row>
    <row r="460" spans="1:10" x14ac:dyDescent="0.25">
      <c r="A460">
        <v>1460</v>
      </c>
      <c r="B460" s="1">
        <v>45809</v>
      </c>
      <c r="C460" t="s">
        <v>10</v>
      </c>
      <c r="D460" t="s">
        <v>12</v>
      </c>
      <c r="E460" t="s">
        <v>22</v>
      </c>
      <c r="F460">
        <f t="shared" ca="1" si="29"/>
        <v>749</v>
      </c>
      <c r="G460">
        <f t="shared" ca="1" si="30"/>
        <v>374.5</v>
      </c>
      <c r="H460">
        <f t="shared" ca="1" si="31"/>
        <v>374.5</v>
      </c>
      <c r="I460" t="str">
        <f t="shared" si="28"/>
        <v>Jun</v>
      </c>
      <c r="J460">
        <f>YEAR(SalesData[[#This Row],[Date]])</f>
        <v>2025</v>
      </c>
    </row>
    <row r="461" spans="1:10" x14ac:dyDescent="0.25">
      <c r="A461">
        <v>1461</v>
      </c>
      <c r="B461" s="1">
        <v>45810</v>
      </c>
      <c r="C461" t="s">
        <v>8</v>
      </c>
      <c r="D461" t="s">
        <v>24</v>
      </c>
      <c r="E461" t="s">
        <v>23</v>
      </c>
      <c r="F461">
        <f t="shared" ca="1" si="29"/>
        <v>587</v>
      </c>
      <c r="G461">
        <f t="shared" ca="1" si="30"/>
        <v>358.07</v>
      </c>
      <c r="H461">
        <f t="shared" ca="1" si="31"/>
        <v>228.93</v>
      </c>
      <c r="I461" t="str">
        <f t="shared" si="28"/>
        <v>Jun</v>
      </c>
      <c r="J461">
        <f>YEAR(SalesData[[#This Row],[Date]])</f>
        <v>2025</v>
      </c>
    </row>
    <row r="462" spans="1:10" x14ac:dyDescent="0.25">
      <c r="A462">
        <v>1462</v>
      </c>
      <c r="B462" s="1">
        <v>45811</v>
      </c>
      <c r="C462" t="s">
        <v>7</v>
      </c>
      <c r="D462" t="s">
        <v>12</v>
      </c>
      <c r="E462" t="s">
        <v>14</v>
      </c>
      <c r="F462">
        <f t="shared" ca="1" si="29"/>
        <v>1466</v>
      </c>
      <c r="G462">
        <f t="shared" ca="1" si="30"/>
        <v>1158.1400000000001</v>
      </c>
      <c r="H462">
        <f t="shared" ca="1" si="31"/>
        <v>307.8599999999999</v>
      </c>
      <c r="I462" t="str">
        <f t="shared" si="28"/>
        <v>Jun</v>
      </c>
      <c r="J462">
        <f>YEAR(SalesData[[#This Row],[Date]])</f>
        <v>2025</v>
      </c>
    </row>
    <row r="463" spans="1:10" x14ac:dyDescent="0.25">
      <c r="A463">
        <v>1463</v>
      </c>
      <c r="B463" s="1">
        <v>45812</v>
      </c>
      <c r="C463" t="s">
        <v>9</v>
      </c>
      <c r="D463" t="s">
        <v>24</v>
      </c>
      <c r="E463" t="s">
        <v>15</v>
      </c>
      <c r="F463">
        <f t="shared" ca="1" si="29"/>
        <v>1937</v>
      </c>
      <c r="G463">
        <f t="shared" ca="1" si="30"/>
        <v>1317.16</v>
      </c>
      <c r="H463">
        <f t="shared" ca="1" si="31"/>
        <v>619.83999999999992</v>
      </c>
      <c r="I463" t="str">
        <f t="shared" si="28"/>
        <v>Jun</v>
      </c>
      <c r="J463">
        <f>YEAR(SalesData[[#This Row],[Date]])</f>
        <v>2025</v>
      </c>
    </row>
    <row r="464" spans="1:10" x14ac:dyDescent="0.25">
      <c r="A464">
        <v>1464</v>
      </c>
      <c r="B464" s="1">
        <v>45813</v>
      </c>
      <c r="C464" t="s">
        <v>10</v>
      </c>
      <c r="D464" t="s">
        <v>13</v>
      </c>
      <c r="E464" t="s">
        <v>16</v>
      </c>
      <c r="F464">
        <f t="shared" ca="1" si="29"/>
        <v>979</v>
      </c>
      <c r="G464">
        <f t="shared" ca="1" si="30"/>
        <v>499.29</v>
      </c>
      <c r="H464">
        <f t="shared" ca="1" si="31"/>
        <v>479.71</v>
      </c>
      <c r="I464" t="str">
        <f t="shared" si="28"/>
        <v>Jun</v>
      </c>
      <c r="J464">
        <f>YEAR(SalesData[[#This Row],[Date]])</f>
        <v>2025</v>
      </c>
    </row>
    <row r="465" spans="1:10" x14ac:dyDescent="0.25">
      <c r="A465">
        <v>1465</v>
      </c>
      <c r="B465" s="1">
        <v>45814</v>
      </c>
      <c r="C465" t="s">
        <v>8</v>
      </c>
      <c r="D465" t="s">
        <v>12</v>
      </c>
      <c r="E465" t="s">
        <v>17</v>
      </c>
      <c r="F465">
        <f t="shared" ca="1" si="29"/>
        <v>948</v>
      </c>
      <c r="G465">
        <f t="shared" ca="1" si="30"/>
        <v>635.16</v>
      </c>
      <c r="H465">
        <f t="shared" ca="1" si="31"/>
        <v>312.84000000000003</v>
      </c>
      <c r="I465" t="str">
        <f t="shared" si="28"/>
        <v>Jun</v>
      </c>
      <c r="J465">
        <f>YEAR(SalesData[[#This Row],[Date]])</f>
        <v>2025</v>
      </c>
    </row>
    <row r="466" spans="1:10" x14ac:dyDescent="0.25">
      <c r="A466">
        <v>1466</v>
      </c>
      <c r="B466" s="1">
        <v>45815</v>
      </c>
      <c r="C466" t="s">
        <v>7</v>
      </c>
      <c r="D466" t="s">
        <v>24</v>
      </c>
      <c r="E466" t="s">
        <v>18</v>
      </c>
      <c r="F466">
        <f t="shared" ca="1" si="29"/>
        <v>812</v>
      </c>
      <c r="G466">
        <f t="shared" ca="1" si="30"/>
        <v>446.6</v>
      </c>
      <c r="H466">
        <f t="shared" ca="1" si="31"/>
        <v>365.4</v>
      </c>
      <c r="I466" t="str">
        <f t="shared" si="28"/>
        <v>Jun</v>
      </c>
      <c r="J466">
        <f>YEAR(SalesData[[#This Row],[Date]])</f>
        <v>2025</v>
      </c>
    </row>
    <row r="467" spans="1:10" x14ac:dyDescent="0.25">
      <c r="A467">
        <v>1467</v>
      </c>
      <c r="B467" s="1">
        <v>45816</v>
      </c>
      <c r="C467" t="s">
        <v>9</v>
      </c>
      <c r="D467" t="s">
        <v>12</v>
      </c>
      <c r="E467" t="s">
        <v>19</v>
      </c>
      <c r="F467">
        <f t="shared" ca="1" si="29"/>
        <v>897</v>
      </c>
      <c r="G467">
        <f t="shared" ca="1" si="30"/>
        <v>484.38</v>
      </c>
      <c r="H467">
        <f t="shared" ca="1" si="31"/>
        <v>412.62</v>
      </c>
      <c r="I467" t="str">
        <f t="shared" si="28"/>
        <v>Jun</v>
      </c>
      <c r="J467">
        <f>YEAR(SalesData[[#This Row],[Date]])</f>
        <v>2025</v>
      </c>
    </row>
    <row r="468" spans="1:10" x14ac:dyDescent="0.25">
      <c r="A468">
        <v>1468</v>
      </c>
      <c r="B468" s="1">
        <v>45817</v>
      </c>
      <c r="C468" t="s">
        <v>10</v>
      </c>
      <c r="D468" t="s">
        <v>24</v>
      </c>
      <c r="E468" t="s">
        <v>20</v>
      </c>
      <c r="F468">
        <f t="shared" ca="1" si="29"/>
        <v>1402</v>
      </c>
      <c r="G468">
        <f t="shared" ca="1" si="30"/>
        <v>813.16</v>
      </c>
      <c r="H468">
        <f t="shared" ca="1" si="31"/>
        <v>588.84</v>
      </c>
      <c r="I468" t="str">
        <f t="shared" si="28"/>
        <v>Jun</v>
      </c>
      <c r="J468">
        <f>YEAR(SalesData[[#This Row],[Date]])</f>
        <v>2025</v>
      </c>
    </row>
    <row r="469" spans="1:10" x14ac:dyDescent="0.25">
      <c r="A469">
        <v>1469</v>
      </c>
      <c r="B469" s="1">
        <v>45818</v>
      </c>
      <c r="C469" t="s">
        <v>8</v>
      </c>
      <c r="D469" t="s">
        <v>13</v>
      </c>
      <c r="E469" t="s">
        <v>21</v>
      </c>
      <c r="F469">
        <f t="shared" ca="1" si="29"/>
        <v>716</v>
      </c>
      <c r="G469">
        <f t="shared" ca="1" si="30"/>
        <v>522.67999999999995</v>
      </c>
      <c r="H469">
        <f t="shared" ca="1" si="31"/>
        <v>193.32000000000005</v>
      </c>
      <c r="I469" t="str">
        <f t="shared" si="28"/>
        <v>Jun</v>
      </c>
      <c r="J469">
        <f>YEAR(SalesData[[#This Row],[Date]])</f>
        <v>2025</v>
      </c>
    </row>
    <row r="470" spans="1:10" x14ac:dyDescent="0.25">
      <c r="A470">
        <v>1470</v>
      </c>
      <c r="B470" s="1">
        <v>45819</v>
      </c>
      <c r="C470" t="s">
        <v>7</v>
      </c>
      <c r="D470" t="s">
        <v>12</v>
      </c>
      <c r="E470" t="s">
        <v>22</v>
      </c>
      <c r="F470">
        <f t="shared" ca="1" si="29"/>
        <v>611</v>
      </c>
      <c r="G470">
        <f t="shared" ca="1" si="30"/>
        <v>433.81</v>
      </c>
      <c r="H470">
        <f t="shared" ca="1" si="31"/>
        <v>177.19</v>
      </c>
      <c r="I470" t="str">
        <f t="shared" si="28"/>
        <v>Jun</v>
      </c>
      <c r="J470">
        <f>YEAR(SalesData[[#This Row],[Date]])</f>
        <v>2025</v>
      </c>
    </row>
    <row r="471" spans="1:10" x14ac:dyDescent="0.25">
      <c r="A471">
        <v>1471</v>
      </c>
      <c r="B471" s="1">
        <v>45820</v>
      </c>
      <c r="C471" t="s">
        <v>9</v>
      </c>
      <c r="D471" t="s">
        <v>24</v>
      </c>
      <c r="E471" t="s">
        <v>23</v>
      </c>
      <c r="F471">
        <f t="shared" ca="1" si="29"/>
        <v>1252</v>
      </c>
      <c r="G471">
        <f t="shared" ca="1" si="30"/>
        <v>913.96</v>
      </c>
      <c r="H471">
        <f t="shared" ca="1" si="31"/>
        <v>338.03999999999996</v>
      </c>
      <c r="I471" t="str">
        <f t="shared" si="28"/>
        <v>Jun</v>
      </c>
      <c r="J471">
        <f>YEAR(SalesData[[#This Row],[Date]])</f>
        <v>2025</v>
      </c>
    </row>
    <row r="472" spans="1:10" x14ac:dyDescent="0.25">
      <c r="A472">
        <v>1472</v>
      </c>
      <c r="B472" s="1">
        <v>45821</v>
      </c>
      <c r="C472" t="s">
        <v>10</v>
      </c>
      <c r="D472" t="s">
        <v>12</v>
      </c>
      <c r="E472" t="s">
        <v>14</v>
      </c>
      <c r="F472">
        <f t="shared" ca="1" si="29"/>
        <v>1787</v>
      </c>
      <c r="G472">
        <f t="shared" ca="1" si="30"/>
        <v>947.11</v>
      </c>
      <c r="H472">
        <f t="shared" ca="1" si="31"/>
        <v>839.89</v>
      </c>
      <c r="I472" t="str">
        <f t="shared" si="28"/>
        <v>Jun</v>
      </c>
      <c r="J472">
        <f>YEAR(SalesData[[#This Row],[Date]])</f>
        <v>2025</v>
      </c>
    </row>
    <row r="473" spans="1:10" x14ac:dyDescent="0.25">
      <c r="A473">
        <v>1473</v>
      </c>
      <c r="B473" s="1">
        <v>45822</v>
      </c>
      <c r="C473" t="s">
        <v>8</v>
      </c>
      <c r="D473" t="s">
        <v>24</v>
      </c>
      <c r="E473" t="s">
        <v>15</v>
      </c>
      <c r="F473">
        <f t="shared" ca="1" si="29"/>
        <v>1673</v>
      </c>
      <c r="G473">
        <f t="shared" ca="1" si="30"/>
        <v>1070.72</v>
      </c>
      <c r="H473">
        <f t="shared" ca="1" si="31"/>
        <v>602.28</v>
      </c>
      <c r="I473" t="str">
        <f t="shared" si="28"/>
        <v>Jun</v>
      </c>
      <c r="J473">
        <f>YEAR(SalesData[[#This Row],[Date]])</f>
        <v>2025</v>
      </c>
    </row>
    <row r="474" spans="1:10" x14ac:dyDescent="0.25">
      <c r="A474">
        <v>1474</v>
      </c>
      <c r="B474" s="1">
        <v>45823</v>
      </c>
      <c r="C474" t="s">
        <v>7</v>
      </c>
      <c r="D474" t="s">
        <v>13</v>
      </c>
      <c r="E474" t="s">
        <v>16</v>
      </c>
      <c r="F474">
        <f t="shared" ca="1" si="29"/>
        <v>1309</v>
      </c>
      <c r="G474">
        <f t="shared" ca="1" si="30"/>
        <v>877.03</v>
      </c>
      <c r="H474">
        <f t="shared" ca="1" si="31"/>
        <v>431.97</v>
      </c>
      <c r="I474" t="str">
        <f t="shared" si="28"/>
        <v>Jun</v>
      </c>
      <c r="J474">
        <f>YEAR(SalesData[[#This Row],[Date]])</f>
        <v>2025</v>
      </c>
    </row>
    <row r="475" spans="1:10" x14ac:dyDescent="0.25">
      <c r="A475">
        <v>1475</v>
      </c>
      <c r="B475" s="1">
        <v>45824</v>
      </c>
      <c r="C475" t="s">
        <v>9</v>
      </c>
      <c r="D475" t="s">
        <v>12</v>
      </c>
      <c r="E475" t="s">
        <v>17</v>
      </c>
      <c r="F475">
        <f t="shared" ca="1" si="29"/>
        <v>1436</v>
      </c>
      <c r="G475">
        <f t="shared" ca="1" si="30"/>
        <v>890.32</v>
      </c>
      <c r="H475">
        <f t="shared" ca="1" si="31"/>
        <v>545.67999999999995</v>
      </c>
      <c r="I475" t="str">
        <f t="shared" si="28"/>
        <v>Jun</v>
      </c>
      <c r="J475">
        <f>YEAR(SalesData[[#This Row],[Date]])</f>
        <v>2025</v>
      </c>
    </row>
    <row r="476" spans="1:10" x14ac:dyDescent="0.25">
      <c r="A476">
        <v>1476</v>
      </c>
      <c r="B476" s="1">
        <v>45825</v>
      </c>
      <c r="C476" t="s">
        <v>10</v>
      </c>
      <c r="D476" t="s">
        <v>24</v>
      </c>
      <c r="E476" t="s">
        <v>18</v>
      </c>
      <c r="F476">
        <f t="shared" ca="1" si="29"/>
        <v>599</v>
      </c>
      <c r="G476">
        <f t="shared" ca="1" si="30"/>
        <v>437.27</v>
      </c>
      <c r="H476">
        <f t="shared" ca="1" si="31"/>
        <v>161.73000000000002</v>
      </c>
      <c r="I476" t="str">
        <f t="shared" si="28"/>
        <v>Jun</v>
      </c>
      <c r="J476">
        <f>YEAR(SalesData[[#This Row],[Date]])</f>
        <v>2025</v>
      </c>
    </row>
    <row r="477" spans="1:10" x14ac:dyDescent="0.25">
      <c r="A477">
        <v>1477</v>
      </c>
      <c r="B477" s="1">
        <v>45826</v>
      </c>
      <c r="C477" t="s">
        <v>8</v>
      </c>
      <c r="D477" t="s">
        <v>12</v>
      </c>
      <c r="E477" t="s">
        <v>19</v>
      </c>
      <c r="F477">
        <f t="shared" ca="1" si="29"/>
        <v>1167</v>
      </c>
      <c r="G477">
        <f t="shared" ca="1" si="30"/>
        <v>595.16999999999996</v>
      </c>
      <c r="H477">
        <f t="shared" ca="1" si="31"/>
        <v>571.83000000000004</v>
      </c>
      <c r="I477" t="str">
        <f t="shared" si="28"/>
        <v>Jun</v>
      </c>
      <c r="J477">
        <f>YEAR(SalesData[[#This Row],[Date]])</f>
        <v>2025</v>
      </c>
    </row>
    <row r="478" spans="1:10" x14ac:dyDescent="0.25">
      <c r="A478">
        <v>1478</v>
      </c>
      <c r="B478" s="1">
        <v>45827</v>
      </c>
      <c r="C478" t="s">
        <v>7</v>
      </c>
      <c r="D478" t="s">
        <v>24</v>
      </c>
      <c r="E478" t="s">
        <v>20</v>
      </c>
      <c r="F478">
        <f t="shared" ca="1" si="29"/>
        <v>1808</v>
      </c>
      <c r="G478">
        <f t="shared" ca="1" si="30"/>
        <v>994.4</v>
      </c>
      <c r="H478">
        <f t="shared" ca="1" si="31"/>
        <v>813.6</v>
      </c>
      <c r="I478" t="str">
        <f t="shared" si="28"/>
        <v>Jun</v>
      </c>
      <c r="J478">
        <f>YEAR(SalesData[[#This Row],[Date]])</f>
        <v>2025</v>
      </c>
    </row>
    <row r="479" spans="1:10" x14ac:dyDescent="0.25">
      <c r="A479">
        <v>1479</v>
      </c>
      <c r="B479" s="1">
        <v>45828</v>
      </c>
      <c r="C479" t="s">
        <v>9</v>
      </c>
      <c r="D479" t="s">
        <v>13</v>
      </c>
      <c r="E479" t="s">
        <v>21</v>
      </c>
      <c r="F479">
        <f t="shared" ca="1" si="29"/>
        <v>1484</v>
      </c>
      <c r="G479">
        <f t="shared" ca="1" si="30"/>
        <v>1038.8</v>
      </c>
      <c r="H479">
        <f t="shared" ca="1" si="31"/>
        <v>445.20000000000005</v>
      </c>
      <c r="I479" t="str">
        <f t="shared" si="28"/>
        <v>Jun</v>
      </c>
      <c r="J479">
        <f>YEAR(SalesData[[#This Row],[Date]])</f>
        <v>2025</v>
      </c>
    </row>
    <row r="480" spans="1:10" x14ac:dyDescent="0.25">
      <c r="A480">
        <v>1480</v>
      </c>
      <c r="B480" s="1">
        <v>45829</v>
      </c>
      <c r="C480" t="s">
        <v>10</v>
      </c>
      <c r="D480" t="s">
        <v>12</v>
      </c>
      <c r="E480" t="s">
        <v>22</v>
      </c>
      <c r="F480">
        <f t="shared" ca="1" si="29"/>
        <v>1017</v>
      </c>
      <c r="G480">
        <f t="shared" ca="1" si="30"/>
        <v>732.24</v>
      </c>
      <c r="H480">
        <f t="shared" ca="1" si="31"/>
        <v>284.76</v>
      </c>
      <c r="I480" t="str">
        <f t="shared" si="28"/>
        <v>Jun</v>
      </c>
      <c r="J480">
        <f>YEAR(SalesData[[#This Row],[Date]])</f>
        <v>2025</v>
      </c>
    </row>
    <row r="481" spans="1:10" x14ac:dyDescent="0.25">
      <c r="A481">
        <v>1481</v>
      </c>
      <c r="B481" s="1">
        <v>45830</v>
      </c>
      <c r="C481" t="s">
        <v>8</v>
      </c>
      <c r="D481" t="s">
        <v>24</v>
      </c>
      <c r="E481" t="s">
        <v>23</v>
      </c>
      <c r="F481">
        <f t="shared" ca="1" si="29"/>
        <v>382</v>
      </c>
      <c r="G481">
        <f t="shared" ca="1" si="30"/>
        <v>221.56</v>
      </c>
      <c r="H481">
        <f t="shared" ca="1" si="31"/>
        <v>160.44</v>
      </c>
      <c r="I481" t="str">
        <f t="shared" si="28"/>
        <v>Jun</v>
      </c>
      <c r="J481">
        <f>YEAR(SalesData[[#This Row],[Date]])</f>
        <v>2025</v>
      </c>
    </row>
    <row r="482" spans="1:10" x14ac:dyDescent="0.25">
      <c r="A482">
        <v>1482</v>
      </c>
      <c r="B482" s="1">
        <v>45831</v>
      </c>
      <c r="C482" t="s">
        <v>7</v>
      </c>
      <c r="D482" t="s">
        <v>12</v>
      </c>
      <c r="E482" t="s">
        <v>14</v>
      </c>
      <c r="F482">
        <f t="shared" ca="1" si="29"/>
        <v>1787</v>
      </c>
      <c r="G482">
        <f t="shared" ca="1" si="30"/>
        <v>1018.59</v>
      </c>
      <c r="H482">
        <f t="shared" ca="1" si="31"/>
        <v>768.41</v>
      </c>
      <c r="I482" t="str">
        <f t="shared" si="28"/>
        <v>Jun</v>
      </c>
      <c r="J482">
        <f>YEAR(SalesData[[#This Row],[Date]])</f>
        <v>2025</v>
      </c>
    </row>
    <row r="483" spans="1:10" x14ac:dyDescent="0.25">
      <c r="A483">
        <v>1483</v>
      </c>
      <c r="B483" s="1">
        <v>45832</v>
      </c>
      <c r="C483" t="s">
        <v>9</v>
      </c>
      <c r="D483" t="s">
        <v>24</v>
      </c>
      <c r="E483" t="s">
        <v>15</v>
      </c>
      <c r="F483">
        <f t="shared" ca="1" si="29"/>
        <v>1781</v>
      </c>
      <c r="G483">
        <f t="shared" ca="1" si="30"/>
        <v>1228.8900000000001</v>
      </c>
      <c r="H483">
        <f t="shared" ca="1" si="31"/>
        <v>552.1099999999999</v>
      </c>
      <c r="I483" t="str">
        <f t="shared" si="28"/>
        <v>Jun</v>
      </c>
      <c r="J483">
        <f>YEAR(SalesData[[#This Row],[Date]])</f>
        <v>2025</v>
      </c>
    </row>
    <row r="484" spans="1:10" x14ac:dyDescent="0.25">
      <c r="A484">
        <v>1484</v>
      </c>
      <c r="B484" s="1">
        <v>45833</v>
      </c>
      <c r="C484" t="s">
        <v>10</v>
      </c>
      <c r="D484" t="s">
        <v>13</v>
      </c>
      <c r="E484" t="s">
        <v>16</v>
      </c>
      <c r="F484">
        <f t="shared" ca="1" si="29"/>
        <v>1700</v>
      </c>
      <c r="G484">
        <f t="shared" ca="1" si="30"/>
        <v>1360</v>
      </c>
      <c r="H484">
        <f t="shared" ca="1" si="31"/>
        <v>340</v>
      </c>
      <c r="I484" t="str">
        <f t="shared" si="28"/>
        <v>Jun</v>
      </c>
      <c r="J484">
        <f>YEAR(SalesData[[#This Row],[Date]])</f>
        <v>2025</v>
      </c>
    </row>
    <row r="485" spans="1:10" x14ac:dyDescent="0.25">
      <c r="A485">
        <v>1485</v>
      </c>
      <c r="B485" s="1">
        <v>45834</v>
      </c>
      <c r="C485" t="s">
        <v>8</v>
      </c>
      <c r="D485" t="s">
        <v>12</v>
      </c>
      <c r="E485" t="s">
        <v>17</v>
      </c>
      <c r="F485">
        <f t="shared" ca="1" si="29"/>
        <v>1038</v>
      </c>
      <c r="G485">
        <f t="shared" ca="1" si="30"/>
        <v>788.88</v>
      </c>
      <c r="H485">
        <f t="shared" ca="1" si="31"/>
        <v>249.12</v>
      </c>
      <c r="I485" t="str">
        <f t="shared" si="28"/>
        <v>Jun</v>
      </c>
      <c r="J485">
        <f>YEAR(SalesData[[#This Row],[Date]])</f>
        <v>2025</v>
      </c>
    </row>
    <row r="486" spans="1:10" x14ac:dyDescent="0.25">
      <c r="A486">
        <v>1486</v>
      </c>
      <c r="B486" s="1">
        <v>45835</v>
      </c>
      <c r="C486" t="s">
        <v>7</v>
      </c>
      <c r="D486" t="s">
        <v>24</v>
      </c>
      <c r="E486" t="s">
        <v>18</v>
      </c>
      <c r="F486">
        <f t="shared" ca="1" si="29"/>
        <v>1532</v>
      </c>
      <c r="G486">
        <f t="shared" ca="1" si="30"/>
        <v>919.2</v>
      </c>
      <c r="H486">
        <f t="shared" ca="1" si="31"/>
        <v>612.79999999999995</v>
      </c>
      <c r="I486" t="str">
        <f t="shared" si="28"/>
        <v>Jun</v>
      </c>
      <c r="J486">
        <f>YEAR(SalesData[[#This Row],[Date]])</f>
        <v>2025</v>
      </c>
    </row>
    <row r="487" spans="1:10" x14ac:dyDescent="0.25">
      <c r="A487">
        <v>1487</v>
      </c>
      <c r="B487" s="1">
        <v>45836</v>
      </c>
      <c r="C487" t="s">
        <v>9</v>
      </c>
      <c r="D487" t="s">
        <v>12</v>
      </c>
      <c r="E487" t="s">
        <v>19</v>
      </c>
      <c r="F487">
        <f t="shared" ca="1" si="29"/>
        <v>356</v>
      </c>
      <c r="G487">
        <f t="shared" ca="1" si="30"/>
        <v>238.52</v>
      </c>
      <c r="H487">
        <f t="shared" ca="1" si="31"/>
        <v>117.47999999999999</v>
      </c>
      <c r="I487" t="str">
        <f t="shared" si="28"/>
        <v>Jun</v>
      </c>
      <c r="J487">
        <f>YEAR(SalesData[[#This Row],[Date]])</f>
        <v>2025</v>
      </c>
    </row>
    <row r="488" spans="1:10" x14ac:dyDescent="0.25">
      <c r="A488">
        <v>1488</v>
      </c>
      <c r="B488" s="1">
        <v>45837</v>
      </c>
      <c r="C488" t="s">
        <v>10</v>
      </c>
      <c r="D488" t="s">
        <v>24</v>
      </c>
      <c r="E488" t="s">
        <v>20</v>
      </c>
      <c r="F488">
        <f t="shared" ca="1" si="29"/>
        <v>1930</v>
      </c>
      <c r="G488">
        <f t="shared" ca="1" si="30"/>
        <v>965</v>
      </c>
      <c r="H488">
        <f t="shared" ca="1" si="31"/>
        <v>965</v>
      </c>
      <c r="I488" t="str">
        <f t="shared" si="28"/>
        <v>Jun</v>
      </c>
      <c r="J488">
        <f>YEAR(SalesData[[#This Row],[Date]])</f>
        <v>2025</v>
      </c>
    </row>
    <row r="489" spans="1:10" x14ac:dyDescent="0.25">
      <c r="A489">
        <v>1489</v>
      </c>
      <c r="B489" s="1">
        <v>45838</v>
      </c>
      <c r="C489" t="s">
        <v>8</v>
      </c>
      <c r="D489" t="s">
        <v>13</v>
      </c>
      <c r="E489" t="s">
        <v>21</v>
      </c>
      <c r="F489">
        <f t="shared" ca="1" si="29"/>
        <v>1754</v>
      </c>
      <c r="G489">
        <f t="shared" ca="1" si="30"/>
        <v>877</v>
      </c>
      <c r="H489">
        <f t="shared" ca="1" si="31"/>
        <v>877</v>
      </c>
      <c r="I489" t="str">
        <f t="shared" si="28"/>
        <v>Jun</v>
      </c>
      <c r="J489">
        <f>YEAR(SalesData[[#This Row],[Date]])</f>
        <v>2025</v>
      </c>
    </row>
    <row r="490" spans="1:10" x14ac:dyDescent="0.25">
      <c r="A490">
        <v>1490</v>
      </c>
      <c r="B490" s="1">
        <v>45839</v>
      </c>
      <c r="C490" t="s">
        <v>7</v>
      </c>
      <c r="D490" t="s">
        <v>12</v>
      </c>
      <c r="E490" t="s">
        <v>22</v>
      </c>
      <c r="F490">
        <f t="shared" ca="1" si="29"/>
        <v>1806</v>
      </c>
      <c r="G490">
        <f t="shared" ca="1" si="30"/>
        <v>1101.6600000000001</v>
      </c>
      <c r="H490">
        <f t="shared" ca="1" si="31"/>
        <v>704.33999999999992</v>
      </c>
      <c r="I490" t="str">
        <f t="shared" si="28"/>
        <v>Jul</v>
      </c>
      <c r="J490">
        <f>YEAR(SalesData[[#This Row],[Date]])</f>
        <v>2025</v>
      </c>
    </row>
    <row r="491" spans="1:10" x14ac:dyDescent="0.25">
      <c r="A491">
        <v>1491</v>
      </c>
      <c r="B491" s="1">
        <v>45840</v>
      </c>
      <c r="C491" t="s">
        <v>9</v>
      </c>
      <c r="D491" t="s">
        <v>24</v>
      </c>
      <c r="E491" t="s">
        <v>23</v>
      </c>
      <c r="F491">
        <f t="shared" ca="1" si="29"/>
        <v>792</v>
      </c>
      <c r="G491">
        <f t="shared" ca="1" si="30"/>
        <v>459.36</v>
      </c>
      <c r="H491">
        <f t="shared" ca="1" si="31"/>
        <v>332.64</v>
      </c>
      <c r="I491" t="str">
        <f t="shared" si="28"/>
        <v>Jul</v>
      </c>
      <c r="J491">
        <f>YEAR(SalesData[[#This Row],[Date]])</f>
        <v>2025</v>
      </c>
    </row>
    <row r="492" spans="1:10" x14ac:dyDescent="0.25">
      <c r="A492">
        <v>1492</v>
      </c>
      <c r="B492" s="1">
        <v>45841</v>
      </c>
      <c r="C492" t="s">
        <v>10</v>
      </c>
      <c r="D492" t="s">
        <v>12</v>
      </c>
      <c r="E492" t="s">
        <v>14</v>
      </c>
      <c r="F492">
        <f t="shared" ca="1" si="29"/>
        <v>1732</v>
      </c>
      <c r="G492">
        <f t="shared" ca="1" si="30"/>
        <v>1247.04</v>
      </c>
      <c r="H492">
        <f t="shared" ca="1" si="31"/>
        <v>484.96000000000004</v>
      </c>
      <c r="I492" t="str">
        <f t="shared" si="28"/>
        <v>Jul</v>
      </c>
      <c r="J492">
        <f>YEAR(SalesData[[#This Row],[Date]])</f>
        <v>2025</v>
      </c>
    </row>
    <row r="493" spans="1:10" x14ac:dyDescent="0.25">
      <c r="A493">
        <v>1493</v>
      </c>
      <c r="B493" s="1">
        <v>45842</v>
      </c>
      <c r="C493" t="s">
        <v>8</v>
      </c>
      <c r="D493" t="s">
        <v>24</v>
      </c>
      <c r="E493" t="s">
        <v>15</v>
      </c>
      <c r="F493">
        <f t="shared" ca="1" si="29"/>
        <v>802</v>
      </c>
      <c r="G493">
        <f t="shared" ca="1" si="30"/>
        <v>521.29999999999995</v>
      </c>
      <c r="H493">
        <f t="shared" ca="1" si="31"/>
        <v>280.70000000000005</v>
      </c>
      <c r="I493" t="str">
        <f t="shared" si="28"/>
        <v>Jul</v>
      </c>
      <c r="J493">
        <f>YEAR(SalesData[[#This Row],[Date]])</f>
        <v>2025</v>
      </c>
    </row>
    <row r="494" spans="1:10" x14ac:dyDescent="0.25">
      <c r="A494">
        <v>1494</v>
      </c>
      <c r="B494" s="1">
        <v>45843</v>
      </c>
      <c r="C494" t="s">
        <v>7</v>
      </c>
      <c r="D494" t="s">
        <v>13</v>
      </c>
      <c r="E494" t="s">
        <v>16</v>
      </c>
      <c r="F494">
        <f t="shared" ca="1" si="29"/>
        <v>1171</v>
      </c>
      <c r="G494">
        <f t="shared" ca="1" si="30"/>
        <v>632.34</v>
      </c>
      <c r="H494">
        <f t="shared" ca="1" si="31"/>
        <v>538.66</v>
      </c>
      <c r="I494" t="str">
        <f t="shared" si="28"/>
        <v>Jul</v>
      </c>
      <c r="J494">
        <f>YEAR(SalesData[[#This Row],[Date]])</f>
        <v>2025</v>
      </c>
    </row>
    <row r="495" spans="1:10" x14ac:dyDescent="0.25">
      <c r="A495">
        <v>1495</v>
      </c>
      <c r="B495" s="1">
        <v>45844</v>
      </c>
      <c r="C495" t="s">
        <v>9</v>
      </c>
      <c r="D495" t="s">
        <v>12</v>
      </c>
      <c r="E495" t="s">
        <v>17</v>
      </c>
      <c r="F495">
        <f t="shared" ca="1" si="29"/>
        <v>350</v>
      </c>
      <c r="G495">
        <f t="shared" ca="1" si="30"/>
        <v>196</v>
      </c>
      <c r="H495">
        <f t="shared" ca="1" si="31"/>
        <v>154</v>
      </c>
      <c r="I495" t="str">
        <f t="shared" si="28"/>
        <v>Jul</v>
      </c>
      <c r="J495">
        <f>YEAR(SalesData[[#This Row],[Date]])</f>
        <v>2025</v>
      </c>
    </row>
    <row r="496" spans="1:10" x14ac:dyDescent="0.25">
      <c r="A496">
        <v>1496</v>
      </c>
      <c r="B496" s="1">
        <v>45845</v>
      </c>
      <c r="C496" t="s">
        <v>10</v>
      </c>
      <c r="D496" t="s">
        <v>24</v>
      </c>
      <c r="E496" t="s">
        <v>18</v>
      </c>
      <c r="F496">
        <f t="shared" ca="1" si="29"/>
        <v>390</v>
      </c>
      <c r="G496">
        <f t="shared" ca="1" si="30"/>
        <v>292.5</v>
      </c>
      <c r="H496">
        <f t="shared" ca="1" si="31"/>
        <v>97.5</v>
      </c>
      <c r="I496" t="str">
        <f t="shared" si="28"/>
        <v>Jul</v>
      </c>
      <c r="J496">
        <f>YEAR(SalesData[[#This Row],[Date]])</f>
        <v>2025</v>
      </c>
    </row>
    <row r="497" spans="1:10" x14ac:dyDescent="0.25">
      <c r="A497">
        <v>1497</v>
      </c>
      <c r="B497" s="1">
        <v>45846</v>
      </c>
      <c r="C497" t="s">
        <v>8</v>
      </c>
      <c r="D497" t="s">
        <v>12</v>
      </c>
      <c r="E497" t="s">
        <v>19</v>
      </c>
      <c r="F497">
        <f t="shared" ca="1" si="29"/>
        <v>1875</v>
      </c>
      <c r="G497">
        <f t="shared" ca="1" si="30"/>
        <v>1050</v>
      </c>
      <c r="H497">
        <f t="shared" ca="1" si="31"/>
        <v>825</v>
      </c>
      <c r="I497" t="str">
        <f t="shared" si="28"/>
        <v>Jul</v>
      </c>
      <c r="J497">
        <f>YEAR(SalesData[[#This Row],[Date]])</f>
        <v>2025</v>
      </c>
    </row>
    <row r="498" spans="1:10" x14ac:dyDescent="0.25">
      <c r="A498">
        <v>1498</v>
      </c>
      <c r="B498" s="1">
        <v>45847</v>
      </c>
      <c r="C498" t="s">
        <v>7</v>
      </c>
      <c r="D498" t="s">
        <v>24</v>
      </c>
      <c r="E498" t="s">
        <v>20</v>
      </c>
      <c r="F498">
        <f t="shared" ca="1" si="29"/>
        <v>604</v>
      </c>
      <c r="G498">
        <f t="shared" ca="1" si="30"/>
        <v>483.2</v>
      </c>
      <c r="H498">
        <f t="shared" ca="1" si="31"/>
        <v>120.80000000000001</v>
      </c>
      <c r="I498" t="str">
        <f t="shared" si="28"/>
        <v>Jul</v>
      </c>
      <c r="J498">
        <f>YEAR(SalesData[[#This Row],[Date]])</f>
        <v>2025</v>
      </c>
    </row>
    <row r="499" spans="1:10" x14ac:dyDescent="0.25">
      <c r="A499">
        <v>1499</v>
      </c>
      <c r="B499" s="1">
        <v>45848</v>
      </c>
      <c r="C499" t="s">
        <v>9</v>
      </c>
      <c r="D499" t="s">
        <v>13</v>
      </c>
      <c r="E499" t="s">
        <v>21</v>
      </c>
      <c r="F499">
        <f t="shared" ca="1" si="29"/>
        <v>1813</v>
      </c>
      <c r="G499">
        <f t="shared" ca="1" si="30"/>
        <v>1142.19</v>
      </c>
      <c r="H499">
        <f t="shared" ca="1" si="31"/>
        <v>670.81</v>
      </c>
      <c r="I499" t="str">
        <f t="shared" si="28"/>
        <v>Jul</v>
      </c>
      <c r="J499">
        <f>YEAR(SalesData[[#This Row],[Date]])</f>
        <v>2025</v>
      </c>
    </row>
    <row r="500" spans="1:10" x14ac:dyDescent="0.25">
      <c r="A500">
        <v>1500</v>
      </c>
      <c r="B500" s="1">
        <v>45849</v>
      </c>
      <c r="C500" t="s">
        <v>10</v>
      </c>
      <c r="D500" t="s">
        <v>12</v>
      </c>
      <c r="E500" t="s">
        <v>22</v>
      </c>
      <c r="F500">
        <f t="shared" ca="1" si="29"/>
        <v>1744</v>
      </c>
      <c r="G500">
        <f t="shared" ca="1" si="30"/>
        <v>924.32</v>
      </c>
      <c r="H500">
        <f t="shared" ca="1" si="31"/>
        <v>819.68</v>
      </c>
      <c r="I500" t="str">
        <f t="shared" si="28"/>
        <v>Jul</v>
      </c>
      <c r="J500">
        <f>YEAR(SalesData[[#This Row],[Date]])</f>
        <v>2025</v>
      </c>
    </row>
  </sheetData>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EB491-1E2C-4FE5-ADE9-60485B06FF73}">
  <dimension ref="B1:F2"/>
  <sheetViews>
    <sheetView tabSelected="1" zoomScale="70" zoomScaleNormal="70" workbookViewId="0">
      <selection activeCell="D3" sqref="D3"/>
    </sheetView>
  </sheetViews>
  <sheetFormatPr defaultRowHeight="15" x14ac:dyDescent="0.25"/>
  <cols>
    <col min="2" max="4" width="17.5703125" customWidth="1"/>
    <col min="6" max="6" width="17.5703125" customWidth="1"/>
  </cols>
  <sheetData>
    <row r="1" spans="2:6" x14ac:dyDescent="0.25">
      <c r="B1" s="6" t="s">
        <v>45</v>
      </c>
      <c r="D1" s="6" t="s">
        <v>46</v>
      </c>
      <c r="F1" s="6" t="s">
        <v>47</v>
      </c>
    </row>
    <row r="2" spans="2:6" ht="18.75" x14ac:dyDescent="0.3">
      <c r="B2" s="7">
        <f>GETPIVOTDATA("Sum of Revenue",'KPI|_PIVOT'!$A$3)</f>
        <v>28796</v>
      </c>
      <c r="C2" s="5"/>
      <c r="D2" s="7">
        <f>GETPIVOTDATA("Sum of Profit",'KPI|_PIVOT'!$A$3)</f>
        <v>10179.810000000001</v>
      </c>
      <c r="F2" s="8">
        <f>B2/D2</f>
        <v>2.8287364891879117</v>
      </c>
    </row>
  </sheetData>
  <conditionalFormatting sqref="F1">
    <cfRule type="colorScale" priority="1">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Region Revenue Chart</vt:lpstr>
      <vt:lpstr>Category Chart</vt:lpstr>
      <vt:lpstr>Region Profit chart</vt:lpstr>
      <vt:lpstr>Monthly Revenue</vt:lpstr>
      <vt:lpstr>Regions Profit</vt:lpstr>
      <vt:lpstr>KPI|_PIVOT</vt:lpstr>
      <vt:lpstr>Sales_Data</vt:lpstr>
      <vt:lpstr>Sales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Otubure Diegbe</dc:creator>
  <cp:lastModifiedBy>Otubure Diegbe</cp:lastModifiedBy>
  <cp:lastPrinted>2026-03-11T15:17:26Z</cp:lastPrinted>
  <dcterms:created xsi:type="dcterms:W3CDTF">2026-03-11T11:20:25Z</dcterms:created>
  <dcterms:modified xsi:type="dcterms:W3CDTF">2026-03-11T15:55:14Z</dcterms:modified>
</cp:coreProperties>
</file>